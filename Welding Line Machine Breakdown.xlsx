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240132572\Desktop\Nabeel Ahmad\November\"/>
    </mc:Choice>
  </mc:AlternateContent>
  <xr:revisionPtr revIDLastSave="0" documentId="13_ncr:1_{215307C0-8CC5-4A02-95ED-86D35700029E}" xr6:coauthVersionLast="47" xr6:coauthVersionMax="47" xr10:uidLastSave="{00000000-0000-0000-0000-000000000000}"/>
  <bookViews>
    <workbookView xWindow="-120" yWindow="-120" windowWidth="24240" windowHeight="13020" xr2:uid="{00000000-000D-0000-FFFF-FFFF00000000}"/>
  </bookViews>
  <sheets>
    <sheet name=" Dashboard" sheetId="9" r:id="rId1"/>
    <sheet name=" Data Source" sheetId="1" r:id="rId2"/>
    <sheet name=" Machine Wase Loss Time" sheetId="7" state="hidden" r:id="rId3"/>
    <sheet name=" Date By Loss Production" sheetId="8" state="hidden" r:id="rId4"/>
    <sheet name=" Date Wase loss TIme " sheetId="6" state="hidden" r:id="rId5"/>
  </sheets>
  <definedNames>
    <definedName name="_xlnm._FilterDatabase" localSheetId="1" hidden="1">' Data Source'!$A$1:$K$14</definedName>
    <definedName name="NativeTimeline_Date">#N/A</definedName>
    <definedName name="Slicer_Date">#N/A</definedName>
    <definedName name="Slicer_Machine">#N/A</definedName>
  </definedNames>
  <calcPr calcId="191029"/>
  <pivotCaches>
    <pivotCache cacheId="1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1" l="1"/>
  <c r="H13" i="1"/>
  <c r="H12" i="1"/>
  <c r="H11" i="1"/>
  <c r="H10" i="1"/>
  <c r="H9" i="1"/>
  <c r="H8" i="1"/>
  <c r="H7" i="1"/>
  <c r="H6" i="1"/>
  <c r="H5" i="1"/>
  <c r="H4" i="1"/>
  <c r="H3" i="1"/>
  <c r="H2" i="1"/>
</calcChain>
</file>

<file path=xl/sharedStrings.xml><?xml version="1.0" encoding="utf-8"?>
<sst xmlns="http://schemas.openxmlformats.org/spreadsheetml/2006/main" count="89" uniqueCount="47">
  <si>
    <t>S.No</t>
  </si>
  <si>
    <t>Machine</t>
  </si>
  <si>
    <t>Poblem</t>
  </si>
  <si>
    <t>Solution</t>
  </si>
  <si>
    <t>Stop Time</t>
  </si>
  <si>
    <t>Start Time</t>
  </si>
  <si>
    <t>Production Loss Qty</t>
  </si>
  <si>
    <t>SBU</t>
  </si>
  <si>
    <t>Remarks</t>
  </si>
  <si>
    <t>Grand Total</t>
  </si>
  <si>
    <t>Date</t>
  </si>
  <si>
    <t>Ismail</t>
  </si>
  <si>
    <t>T-loss Time(Hrs)</t>
  </si>
  <si>
    <t>Supplir Side Issue</t>
  </si>
  <si>
    <t xml:space="preserve"> </t>
  </si>
  <si>
    <t>Row Labels</t>
  </si>
  <si>
    <t>Sum of T-loss Time(Hrs)</t>
  </si>
  <si>
    <t>Sum of Production Loss Qty</t>
  </si>
  <si>
    <t xml:space="preserve"> SBU</t>
  </si>
  <si>
    <t>W02</t>
  </si>
  <si>
    <t xml:space="preserve">Material </t>
  </si>
  <si>
    <t>Setup PerModel</t>
  </si>
  <si>
    <t>W09</t>
  </si>
  <si>
    <t>Die Setup Per Plan</t>
  </si>
  <si>
    <t>W03</t>
  </si>
  <si>
    <t xml:space="preserve">Bending Part Not Available </t>
  </si>
  <si>
    <t>Slow Working</t>
  </si>
  <si>
    <t>W08</t>
  </si>
  <si>
    <t xml:space="preserve">Model Change </t>
  </si>
  <si>
    <t xml:space="preserve">Die Change+HMI Setting </t>
  </si>
  <si>
    <t>Sajid</t>
  </si>
  <si>
    <t xml:space="preserve">Mateial Not Available </t>
  </si>
  <si>
    <t xml:space="preserve">Fg Material Not Available </t>
  </si>
  <si>
    <t>Shan</t>
  </si>
  <si>
    <t>Water change</t>
  </si>
  <si>
    <t>Machine Start</t>
  </si>
  <si>
    <t xml:space="preserve">Weldeing Heater Issue </t>
  </si>
  <si>
    <t xml:space="preserve">Change Welding Heater </t>
  </si>
  <si>
    <t>W14</t>
  </si>
  <si>
    <t>Welging Torch NRV  Block</t>
  </si>
  <si>
    <t>Change NRV</t>
  </si>
  <si>
    <t>MNT</t>
  </si>
  <si>
    <t>W16</t>
  </si>
  <si>
    <t xml:space="preserve">Welding Ring Not Available </t>
  </si>
  <si>
    <t>Machine Off</t>
  </si>
  <si>
    <t xml:space="preserve">next Table Start </t>
  </si>
  <si>
    <t>Mustafa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</si>
</sst>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
    <numFmt numFmtId="165" formatCode="h:mm;@"/>
    <numFmt numFmtId="166" formatCode="0.0"/>
  </numFmts>
  <fonts count="4" x14ac:knownFonts="1">
    <font>
      <sz val="11"/>
      <color theme="1"/>
      <name val="Calibri"/>
      <family val="2"/>
      <scheme val="minor"/>
    </font>
    <font>
      <sz val="8"/>
      <name val="Calibri"/>
      <family val="2"/>
      <scheme val="minor"/>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rgb="FFFFC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4">
    <xf numFmtId="0" fontId="0" fillId="0" borderId="0" xfId="0"/>
    <xf numFmtId="0" fontId="0" fillId="0" borderId="1" xfId="0" applyBorder="1" applyAlignment="1">
      <alignment horizontal="center" vertical="center"/>
    </xf>
    <xf numFmtId="164" fontId="0" fillId="0" borderId="1" xfId="0" applyNumberFormat="1" applyBorder="1" applyAlignment="1">
      <alignment horizontal="center" vertical="center"/>
    </xf>
    <xf numFmtId="2"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left"/>
    </xf>
    <xf numFmtId="164" fontId="0" fillId="0" borderId="0" xfId="0" pivotButton="1" applyNumberFormat="1"/>
    <xf numFmtId="164" fontId="0" fillId="0" borderId="0" xfId="0" applyNumberFormat="1" applyAlignment="1">
      <alignment horizontal="left"/>
    </xf>
    <xf numFmtId="164" fontId="0" fillId="0" borderId="0" xfId="0" applyNumberFormat="1"/>
    <xf numFmtId="0" fontId="0" fillId="3" borderId="0" xfId="0" applyFill="1"/>
    <xf numFmtId="0" fontId="0" fillId="0" borderId="0" xfId="0" pivotButton="1" applyAlignment="1">
      <alignment horizontal="center" vertical="center"/>
    </xf>
    <xf numFmtId="0" fontId="0" fillId="0" borderId="0" xfId="0"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165" fontId="2" fillId="2" borderId="5" xfId="0" applyNumberFormat="1" applyFont="1" applyFill="1" applyBorder="1" applyAlignment="1">
      <alignment horizontal="center" vertical="center"/>
    </xf>
    <xf numFmtId="0" fontId="2" fillId="2" borderId="6" xfId="0" applyFont="1" applyFill="1" applyBorder="1" applyAlignment="1">
      <alignment horizontal="center" vertical="center"/>
    </xf>
    <xf numFmtId="0" fontId="3" fillId="0" borderId="1" xfId="0" applyFont="1" applyBorder="1" applyAlignment="1">
      <alignment horizontal="center" vertical="center"/>
    </xf>
    <xf numFmtId="166" fontId="0" fillId="0" borderId="0" xfId="0" applyNumberFormat="1" applyAlignment="1">
      <alignment horizontal="center" vertical="center"/>
    </xf>
    <xf numFmtId="14" fontId="0" fillId="0" borderId="0" xfId="0" applyNumberFormat="1" applyAlignment="1">
      <alignment horizontal="left"/>
    </xf>
    <xf numFmtId="1" fontId="0" fillId="0" borderId="0" xfId="0" applyNumberFormat="1"/>
    <xf numFmtId="0" fontId="0" fillId="0" borderId="0" xfId="0" applyNumberFormat="1"/>
    <xf numFmtId="0" fontId="0" fillId="0" borderId="0" xfId="0" applyNumberFormat="1" applyAlignment="1">
      <alignment horizontal="center" vertical="center"/>
    </xf>
  </cellXfs>
  <cellStyles count="1">
    <cellStyle name="Normal" xfId="0" builtinId="0"/>
  </cellStyles>
  <dxfs count="75">
    <dxf>
      <numFmt numFmtId="164" formatCode="[$-409]d\-mmm;@"/>
    </dxf>
    <dxf>
      <numFmt numFmtId="164" formatCode="[$-409]d\-mmm;@"/>
    </dxf>
    <dxf>
      <numFmt numFmtId="164" formatCode="[$-409]d\-mmm;@"/>
    </dxf>
    <dxf>
      <numFmt numFmtId="1" formatCode="0"/>
    </dxf>
    <dxf>
      <numFmt numFmtId="166" formatCode="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0.0"/>
    </dxf>
    <dxf>
      <numFmt numFmtId="1" formatCode="0"/>
    </dxf>
    <dxf>
      <numFmt numFmtId="164" formatCode="[$-409]d\-mmm;@"/>
    </dxf>
    <dxf>
      <numFmt numFmtId="164" formatCode="[$-409]d\-mmm;@"/>
    </dxf>
    <dxf>
      <numFmt numFmtId="164" formatCode="[$-409]d\-mmm;@"/>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6" formatCode="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h: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h:m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409]d\-m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4"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CE0E0"/>
      <color rgb="FFE6C6E4"/>
      <color rgb="FFF2DEBA"/>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[Welding Line Machine Breakdown.xlsx] Machine Wase Loss Time!PivotTable1</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Machine Wise Loss TIme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97452378955434E-2"/>
          <c:y val="8.0756815398156184E-2"/>
          <c:w val="0.9483025476210446"/>
          <c:h val="0.84897519200639915"/>
        </c:manualLayout>
      </c:layout>
      <c:barChart>
        <c:barDir val="col"/>
        <c:grouping val="stacked"/>
        <c:varyColors val="0"/>
        <c:ser>
          <c:idx val="0"/>
          <c:order val="0"/>
          <c:tx>
            <c:strRef>
              <c:f>' Machine Wase Loss Time'!$B$3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Machine Wase Loss Time'!$A$4:$A$10</c:f>
              <c:strCache>
                <c:ptCount val="6"/>
                <c:pt idx="0">
                  <c:v>W02</c:v>
                </c:pt>
                <c:pt idx="1">
                  <c:v>W03</c:v>
                </c:pt>
                <c:pt idx="2">
                  <c:v>W08</c:v>
                </c:pt>
                <c:pt idx="3">
                  <c:v>W09</c:v>
                </c:pt>
                <c:pt idx="4">
                  <c:v>W14</c:v>
                </c:pt>
                <c:pt idx="5">
                  <c:v>W16</c:v>
                </c:pt>
              </c:strCache>
            </c:strRef>
          </c:cat>
          <c:val>
            <c:numRef>
              <c:f>' Machine Wase Loss Time'!$B$4:$B$10</c:f>
              <c:numCache>
                <c:formatCode>0.0</c:formatCode>
                <c:ptCount val="6"/>
                <c:pt idx="0">
                  <c:v>6</c:v>
                </c:pt>
                <c:pt idx="1">
                  <c:v>3.5000000000000009</c:v>
                </c:pt>
                <c:pt idx="2">
                  <c:v>0.99999999999999778</c:v>
                </c:pt>
                <c:pt idx="3">
                  <c:v>4</c:v>
                </c:pt>
                <c:pt idx="4">
                  <c:v>0.50000000000000089</c:v>
                </c:pt>
                <c:pt idx="5">
                  <c:v>2.0000000000000022</c:v>
                </c:pt>
              </c:numCache>
            </c:numRef>
          </c:val>
          <c:extLst>
            <c:ext xmlns:c16="http://schemas.microsoft.com/office/drawing/2014/chart" uri="{C3380CC4-5D6E-409C-BE32-E72D297353CC}">
              <c16:uniqueId val="{00000000-C150-4D90-907B-14BE65DF2541}"/>
            </c:ext>
          </c:extLst>
        </c:ser>
        <c:dLbls>
          <c:showLegendKey val="0"/>
          <c:showVal val="0"/>
          <c:showCatName val="0"/>
          <c:showSerName val="0"/>
          <c:showPercent val="0"/>
          <c:showBubbleSize val="0"/>
        </c:dLbls>
        <c:gapWidth val="150"/>
        <c:overlap val="100"/>
        <c:axId val="357760352"/>
        <c:axId val="357759392"/>
      </c:barChart>
      <c:catAx>
        <c:axId val="35776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7759392"/>
        <c:crosses val="autoZero"/>
        <c:auto val="1"/>
        <c:lblAlgn val="ctr"/>
        <c:lblOffset val="100"/>
        <c:noMultiLvlLbl val="0"/>
      </c:catAx>
      <c:valAx>
        <c:axId val="357759392"/>
        <c:scaling>
          <c:orientation val="minMax"/>
        </c:scaling>
        <c:delete val="0"/>
        <c:axPos val="l"/>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6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[Welding Line Machine Breakdown.xlsx] Date By Loss Production!PivotTable1</c:name>
    <c:fmtId val="7"/>
  </c:pivotSource>
  <c:chart>
    <c:title>
      <c:tx>
        <c:rich>
          <a:bodyPr rot="0" spcFirstLastPara="1" vertOverflow="ellipsis" vert="horz" wrap="square" anchor="ctr" anchorCtr="1"/>
          <a:lstStyle/>
          <a:p>
            <a:pPr>
              <a:defRPr sz="1800" b="1" i="0" u="none" strike="noStrike" kern="1200" cap="none" spc="20" baseline="0">
                <a:solidFill>
                  <a:schemeClr val="tx1"/>
                </a:solidFill>
                <a:latin typeface="+mn-lt"/>
                <a:ea typeface="+mn-ea"/>
                <a:cs typeface="+mn-cs"/>
              </a:defRPr>
            </a:pPr>
            <a:r>
              <a:rPr lang="en-US" sz="1800" b="1">
                <a:solidFill>
                  <a:schemeClr val="tx1"/>
                </a:solidFill>
              </a:rPr>
              <a:t> Date Wise Loss Production  </a:t>
            </a:r>
          </a:p>
        </c:rich>
      </c:tx>
      <c:layout>
        <c:manualLayout>
          <c:xMode val="edge"/>
          <c:yMode val="edge"/>
          <c:x val="0.38616409196023677"/>
          <c:y val="3.1374508653429396E-2"/>
        </c:manualLayout>
      </c:layout>
      <c:overlay val="0"/>
      <c:spPr>
        <a:noFill/>
        <a:ln>
          <a:noFill/>
        </a:ln>
        <a:effectLst/>
      </c:spPr>
      <c:txPr>
        <a:bodyPr rot="0" spcFirstLastPara="1" vertOverflow="ellipsis" vert="horz" wrap="square" anchor="ctr" anchorCtr="1"/>
        <a:lstStyle/>
        <a:p>
          <a:pPr>
            <a:defRPr sz="18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57150" cap="rnd" cmpd="sng" algn="ctr">
            <a:solidFill>
              <a:schemeClr val="accent2">
                <a:lumMod val="75000"/>
              </a:schemeClr>
            </a:solidFill>
            <a:round/>
          </a:ln>
          <a:effectLst/>
        </c:spPr>
        <c:marker>
          <c:symbol val="circle"/>
          <c:size val="4"/>
          <c:spPr>
            <a:solidFill>
              <a:schemeClr val="accent4">
                <a:lumMod val="60000"/>
                <a:lumOff val="40000"/>
              </a:schemeClr>
            </a:solidFill>
            <a:ln w="57150" cap="flat" cmpd="sng" algn="ctr">
              <a:solidFill>
                <a:schemeClr val="accent2">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19073033446827E-2"/>
          <c:y val="8.6788616144390401E-2"/>
          <c:w val="0.9478567016963958"/>
          <c:h val="0.84356747518794961"/>
        </c:manualLayout>
      </c:layout>
      <c:lineChart>
        <c:grouping val="stacked"/>
        <c:varyColors val="0"/>
        <c:ser>
          <c:idx val="0"/>
          <c:order val="0"/>
          <c:tx>
            <c:strRef>
              <c:f>' Date By Loss Production'!$B$3</c:f>
              <c:strCache>
                <c:ptCount val="1"/>
                <c:pt idx="0">
                  <c:v>Total</c:v>
                </c:pt>
              </c:strCache>
            </c:strRef>
          </c:tx>
          <c:spPr>
            <a:ln w="57150" cap="rnd" cmpd="sng" algn="ctr">
              <a:solidFill>
                <a:schemeClr val="accent2">
                  <a:lumMod val="75000"/>
                </a:schemeClr>
              </a:solidFill>
              <a:round/>
            </a:ln>
            <a:effectLst/>
          </c:spPr>
          <c:marker>
            <c:symbol val="circle"/>
            <c:size val="4"/>
            <c:spPr>
              <a:solidFill>
                <a:schemeClr val="accent4">
                  <a:lumMod val="60000"/>
                  <a:lumOff val="40000"/>
                </a:schemeClr>
              </a:solidFill>
              <a:ln w="57150" cap="flat" cmpd="sng" algn="ctr">
                <a:solidFill>
                  <a:schemeClr val="accent2">
                    <a:lumMod val="7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 Date By Loss Production'!$A$4:$A$11</c:f>
              <c:strCache>
                <c:ptCount val="7"/>
                <c:pt idx="0">
                  <c:v>11/1/2025</c:v>
                </c:pt>
                <c:pt idx="1">
                  <c:v>11/3/2025</c:v>
                </c:pt>
                <c:pt idx="2">
                  <c:v>11/4/2025</c:v>
                </c:pt>
                <c:pt idx="3">
                  <c:v>11/7/2025</c:v>
                </c:pt>
                <c:pt idx="4">
                  <c:v>11/12/2025</c:v>
                </c:pt>
                <c:pt idx="5">
                  <c:v>11/17/2025</c:v>
                </c:pt>
                <c:pt idx="6">
                  <c:v>11/18/2025</c:v>
                </c:pt>
              </c:strCache>
            </c:strRef>
          </c:cat>
          <c:val>
            <c:numRef>
              <c:f>' Date By Loss Production'!$B$4:$B$11</c:f>
              <c:numCache>
                <c:formatCode>0</c:formatCode>
                <c:ptCount val="7"/>
                <c:pt idx="0">
                  <c:v>2300</c:v>
                </c:pt>
                <c:pt idx="1">
                  <c:v>850</c:v>
                </c:pt>
                <c:pt idx="2">
                  <c:v>1800</c:v>
                </c:pt>
                <c:pt idx="3">
                  <c:v>100</c:v>
                </c:pt>
                <c:pt idx="4">
                  <c:v>300</c:v>
                </c:pt>
                <c:pt idx="5">
                  <c:v>300</c:v>
                </c:pt>
                <c:pt idx="6">
                  <c:v>520</c:v>
                </c:pt>
              </c:numCache>
            </c:numRef>
          </c:val>
          <c:smooth val="0"/>
          <c:extLst>
            <c:ext xmlns:c16="http://schemas.microsoft.com/office/drawing/2014/chart" uri="{C3380CC4-5D6E-409C-BE32-E72D297353CC}">
              <c16:uniqueId val="{00000000-EFA7-44E6-BE0F-4755FDCA118A}"/>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57775232"/>
        <c:axId val="357775712"/>
      </c:lineChart>
      <c:catAx>
        <c:axId val="3577752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spc="20" baseline="0">
                <a:solidFill>
                  <a:schemeClr val="dk1">
                    <a:lumMod val="65000"/>
                    <a:lumOff val="35000"/>
                  </a:schemeClr>
                </a:solidFill>
                <a:latin typeface="+mn-lt"/>
                <a:ea typeface="+mn-ea"/>
                <a:cs typeface="+mn-cs"/>
              </a:defRPr>
            </a:pPr>
            <a:endParaRPr lang="en-US"/>
          </a:p>
        </c:txPr>
        <c:crossAx val="357775712"/>
        <c:crosses val="autoZero"/>
        <c:auto val="1"/>
        <c:lblAlgn val="ctr"/>
        <c:lblOffset val="100"/>
        <c:noMultiLvlLbl val="0"/>
      </c:catAx>
      <c:valAx>
        <c:axId val="3577757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5777523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[Welding Line Machine Breakdown.xlsx] Date Wase loss TIme !PivotTable1</c:name>
    <c:fmtId val="3"/>
  </c:pivotSource>
  <c:chart>
    <c:title>
      <c:tx>
        <c:rich>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r>
              <a:rPr lang="en-US" sz="2000"/>
              <a:t> Date Wise Loss Time (Hrs) </a:t>
            </a:r>
          </a:p>
        </c:rich>
      </c:tx>
      <c:layout>
        <c:manualLayout>
          <c:xMode val="edge"/>
          <c:yMode val="edge"/>
          <c:x val="0.38028284106638494"/>
          <c:y val="1.2049270541173928E-3"/>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s>
    <c:plotArea>
      <c:layout>
        <c:manualLayout>
          <c:layoutTarget val="inner"/>
          <c:xMode val="edge"/>
          <c:yMode val="edge"/>
          <c:x val="8.6903739537115124E-2"/>
          <c:y val="1.2856134343928925E-2"/>
          <c:w val="0.89090959764473965"/>
          <c:h val="0.90413452319562115"/>
        </c:manualLayout>
      </c:layout>
      <c:barChart>
        <c:barDir val="bar"/>
        <c:grouping val="clustered"/>
        <c:varyColors val="0"/>
        <c:ser>
          <c:idx val="0"/>
          <c:order val="0"/>
          <c:tx>
            <c:strRef>
              <c:f>' Date Wase loss TIme '!$B$3</c:f>
              <c:strCache>
                <c:ptCount val="1"/>
                <c:pt idx="0">
                  <c:v>Total</c:v>
                </c:pt>
              </c:strCache>
            </c:strRef>
          </c:tx>
          <c:spPr>
            <a:solidFill>
              <a:schemeClr val="accent6">
                <a:lumMod val="75000"/>
              </a:schemeClr>
            </a:solidFill>
            <a:ln>
              <a:solidFill>
                <a:schemeClr val="accent6">
                  <a:lumMod val="75000"/>
                </a:schemeClr>
              </a:solidFill>
            </a:ln>
            <a:effectLst/>
          </c:spPr>
          <c:invertIfNegative val="0"/>
          <c:dPt>
            <c:idx val="0"/>
            <c:invertIfNegative val="0"/>
            <c:bubble3D val="0"/>
            <c:extLst>
              <c:ext xmlns:c16="http://schemas.microsoft.com/office/drawing/2014/chart" uri="{C3380CC4-5D6E-409C-BE32-E72D297353CC}">
                <c16:uniqueId val="{00000001-450F-4130-9E7F-6BD2BE46B0B0}"/>
              </c:ext>
            </c:extLst>
          </c:dPt>
          <c:dPt>
            <c:idx val="1"/>
            <c:invertIfNegative val="0"/>
            <c:bubble3D val="0"/>
            <c:extLst>
              <c:ext xmlns:c16="http://schemas.microsoft.com/office/drawing/2014/chart" uri="{C3380CC4-5D6E-409C-BE32-E72D297353CC}">
                <c16:uniqueId val="{00000003-450F-4130-9E7F-6BD2BE46B0B0}"/>
              </c:ext>
            </c:extLst>
          </c:dPt>
          <c:dPt>
            <c:idx val="2"/>
            <c:invertIfNegative val="0"/>
            <c:bubble3D val="0"/>
            <c:extLst>
              <c:ext xmlns:c16="http://schemas.microsoft.com/office/drawing/2014/chart" uri="{C3380CC4-5D6E-409C-BE32-E72D297353CC}">
                <c16:uniqueId val="{00000005-450F-4130-9E7F-6BD2BE46B0B0}"/>
              </c:ext>
            </c:extLst>
          </c:dPt>
          <c:dPt>
            <c:idx val="3"/>
            <c:invertIfNegative val="0"/>
            <c:bubble3D val="0"/>
            <c:extLst>
              <c:ext xmlns:c16="http://schemas.microsoft.com/office/drawing/2014/chart" uri="{C3380CC4-5D6E-409C-BE32-E72D297353CC}">
                <c16:uniqueId val="{00000007-450F-4130-9E7F-6BD2BE46B0B0}"/>
              </c:ext>
            </c:extLst>
          </c:dPt>
          <c:dPt>
            <c:idx val="4"/>
            <c:invertIfNegative val="0"/>
            <c:bubble3D val="0"/>
            <c:extLst>
              <c:ext xmlns:c16="http://schemas.microsoft.com/office/drawing/2014/chart" uri="{C3380CC4-5D6E-409C-BE32-E72D297353CC}">
                <c16:uniqueId val="{00000009-450F-4130-9E7F-6BD2BE46B0B0}"/>
              </c:ext>
            </c:extLst>
          </c:dPt>
          <c:dPt>
            <c:idx val="5"/>
            <c:invertIfNegative val="0"/>
            <c:bubble3D val="0"/>
            <c:extLst>
              <c:ext xmlns:c16="http://schemas.microsoft.com/office/drawing/2014/chart" uri="{C3380CC4-5D6E-409C-BE32-E72D297353CC}">
                <c16:uniqueId val="{0000000B-450F-4130-9E7F-6BD2BE46B0B0}"/>
              </c:ext>
            </c:extLst>
          </c:dPt>
          <c:dPt>
            <c:idx val="6"/>
            <c:invertIfNegative val="0"/>
            <c:bubble3D val="0"/>
            <c:extLst>
              <c:ext xmlns:c16="http://schemas.microsoft.com/office/drawing/2014/chart" uri="{C3380CC4-5D6E-409C-BE32-E72D297353CC}">
                <c16:uniqueId val="{0000000D-CDC4-4ED4-8706-FB5D097F88F5}"/>
              </c:ext>
            </c:extLst>
          </c:dPt>
          <c:dPt>
            <c:idx val="7"/>
            <c:invertIfNegative val="0"/>
            <c:bubble3D val="0"/>
            <c:extLst>
              <c:ext xmlns:c16="http://schemas.microsoft.com/office/drawing/2014/chart" uri="{C3380CC4-5D6E-409C-BE32-E72D297353CC}">
                <c16:uniqueId val="{0000000F-A682-4CB3-ADC8-DB0436406B46}"/>
              </c:ext>
            </c:extLst>
          </c:dPt>
          <c:dPt>
            <c:idx val="8"/>
            <c:invertIfNegative val="0"/>
            <c:bubble3D val="0"/>
            <c:extLst>
              <c:ext xmlns:c16="http://schemas.microsoft.com/office/drawing/2014/chart" uri="{C3380CC4-5D6E-409C-BE32-E72D297353CC}">
                <c16:uniqueId val="{00000011-8492-4E9F-BF80-BF4B1A7673A1}"/>
              </c:ext>
            </c:extLst>
          </c:dPt>
          <c:dPt>
            <c:idx val="9"/>
            <c:invertIfNegative val="0"/>
            <c:bubble3D val="0"/>
            <c:extLst>
              <c:ext xmlns:c16="http://schemas.microsoft.com/office/drawing/2014/chart" uri="{C3380CC4-5D6E-409C-BE32-E72D297353CC}">
                <c16:uniqueId val="{00000013-7FFD-4565-9F9F-5868B612D6AC}"/>
              </c:ext>
            </c:extLst>
          </c:dPt>
          <c:dPt>
            <c:idx val="10"/>
            <c:invertIfNegative val="0"/>
            <c:bubble3D val="0"/>
            <c:extLst>
              <c:ext xmlns:c16="http://schemas.microsoft.com/office/drawing/2014/chart" uri="{C3380CC4-5D6E-409C-BE32-E72D297353CC}">
                <c16:uniqueId val="{00000015-0397-416D-90F9-5C038C3B4BC7}"/>
              </c:ext>
            </c:extLst>
          </c:dPt>
          <c:dPt>
            <c:idx val="11"/>
            <c:invertIfNegative val="0"/>
            <c:bubble3D val="0"/>
            <c:extLst>
              <c:ext xmlns:c16="http://schemas.microsoft.com/office/drawing/2014/chart" uri="{C3380CC4-5D6E-409C-BE32-E72D297353CC}">
                <c16:uniqueId val="{00000017-2896-496A-87A2-C8BEC80C2C6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 Date Wase loss TIme '!$A$4:$A$11</c:f>
              <c:strCache>
                <c:ptCount val="7"/>
                <c:pt idx="0">
                  <c:v>11/1/2025</c:v>
                </c:pt>
                <c:pt idx="1">
                  <c:v>11/3/2025</c:v>
                </c:pt>
                <c:pt idx="2">
                  <c:v>11/4/2025</c:v>
                </c:pt>
                <c:pt idx="3">
                  <c:v>11/7/2025</c:v>
                </c:pt>
                <c:pt idx="4">
                  <c:v>11/12/2025</c:v>
                </c:pt>
                <c:pt idx="5">
                  <c:v>11/17/2025</c:v>
                </c:pt>
                <c:pt idx="6">
                  <c:v>11/18/2025</c:v>
                </c:pt>
              </c:strCache>
            </c:strRef>
          </c:cat>
          <c:val>
            <c:numRef>
              <c:f>' Date Wase loss TIme '!$B$4:$B$11</c:f>
              <c:numCache>
                <c:formatCode>General</c:formatCode>
                <c:ptCount val="7"/>
                <c:pt idx="0">
                  <c:v>5</c:v>
                </c:pt>
                <c:pt idx="1">
                  <c:v>2.4999999999999991</c:v>
                </c:pt>
                <c:pt idx="2">
                  <c:v>4.5</c:v>
                </c:pt>
                <c:pt idx="3">
                  <c:v>0.50000000000000089</c:v>
                </c:pt>
                <c:pt idx="4">
                  <c:v>1.5000000000000013</c:v>
                </c:pt>
                <c:pt idx="5">
                  <c:v>1.0000000000000004</c:v>
                </c:pt>
                <c:pt idx="6">
                  <c:v>2.0000000000000009</c:v>
                </c:pt>
              </c:numCache>
            </c:numRef>
          </c:val>
          <c:extLst>
            <c:ext xmlns:c16="http://schemas.microsoft.com/office/drawing/2014/chart" uri="{C3380CC4-5D6E-409C-BE32-E72D297353CC}">
              <c16:uniqueId val="{0000000C-450F-4130-9E7F-6BD2BE46B0B0}"/>
            </c:ext>
          </c:extLst>
        </c:ser>
        <c:dLbls>
          <c:showLegendKey val="0"/>
          <c:showVal val="0"/>
          <c:showCatName val="0"/>
          <c:showSerName val="0"/>
          <c:showPercent val="0"/>
          <c:showBubbleSize val="0"/>
        </c:dLbls>
        <c:gapWidth val="100"/>
        <c:axId val="618705519"/>
        <c:axId val="618705999"/>
      </c:barChart>
      <c:catAx>
        <c:axId val="618705519"/>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8705999"/>
        <c:crosses val="autoZero"/>
        <c:auto val="1"/>
        <c:lblAlgn val="ctr"/>
        <c:lblOffset val="100"/>
        <c:noMultiLvlLbl val="0"/>
      </c:catAx>
      <c:valAx>
        <c:axId val="61870599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870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[Welding Line Machine Breakdown.xlsx] Machine Wase Loss Time!PivotTable2</c:name>
    <c:fmtId val="26"/>
  </c:pivotSource>
  <c:chart>
    <c:title>
      <c:tx>
        <c:rich>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r>
              <a:rPr lang="en-US" sz="2000"/>
              <a:t> SBU Wise  Time Loss</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5719282529435983"/>
              <c:y val="-0.15253503777756253"/>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2.6644993641186825E-2"/>
          <c:y val="0.11950134169448633"/>
          <c:w val="0.87468650458325647"/>
          <c:h val="0.85214963956138601"/>
        </c:manualLayout>
      </c:layout>
      <c:pieChart>
        <c:varyColors val="1"/>
        <c:ser>
          <c:idx val="0"/>
          <c:order val="0"/>
          <c:tx>
            <c:strRef>
              <c:f>' Machine Wase Loss Time'!$F$3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601-451D-B1A8-E2FE242575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E9D-4FA1-99F1-B18900CFAC5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E9D-4FA1-99F1-B18900CFAC5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6E9D-4FA1-99F1-B18900CFAC5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6E9D-4FA1-99F1-B18900CFAC5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6E9D-4FA1-99F1-B18900CFAC57}"/>
              </c:ext>
            </c:extLst>
          </c:dPt>
          <c:dLbls>
            <c:dLbl>
              <c:idx val="0"/>
              <c:layout>
                <c:manualLayout>
                  <c:x val="-0.25719282529435983"/>
                  <c:y val="-0.1525350377775625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01-451D-B1A8-E2FE2425756B}"/>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 Machine Wase Loss Time'!$E$4:$E$9</c:f>
              <c:strCache>
                <c:ptCount val="5"/>
                <c:pt idx="0">
                  <c:v>Ismail</c:v>
                </c:pt>
                <c:pt idx="1">
                  <c:v>MNT</c:v>
                </c:pt>
                <c:pt idx="2">
                  <c:v>Shan</c:v>
                </c:pt>
                <c:pt idx="3">
                  <c:v>Sajid</c:v>
                </c:pt>
                <c:pt idx="4">
                  <c:v>Mustafa</c:v>
                </c:pt>
              </c:strCache>
            </c:strRef>
          </c:cat>
          <c:val>
            <c:numRef>
              <c:f>' Machine Wase Loss Time'!$F$4:$F$9</c:f>
              <c:numCache>
                <c:formatCode>General</c:formatCode>
                <c:ptCount val="5"/>
                <c:pt idx="0">
                  <c:v>7.4999999999999991</c:v>
                </c:pt>
                <c:pt idx="1">
                  <c:v>2.5000000000000018</c:v>
                </c:pt>
                <c:pt idx="2">
                  <c:v>5</c:v>
                </c:pt>
                <c:pt idx="3">
                  <c:v>1.0000000000000004</c:v>
                </c:pt>
                <c:pt idx="4">
                  <c:v>1.0000000000000018</c:v>
                </c:pt>
              </c:numCache>
            </c:numRef>
          </c:val>
          <c:extLst>
            <c:ext xmlns:c16="http://schemas.microsoft.com/office/drawing/2014/chart" uri="{C3380CC4-5D6E-409C-BE32-E72D297353CC}">
              <c16:uniqueId val="{0000000B-4D74-4748-AA99-3A00E1E919D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0183977992240729"/>
          <c:y val="3.9249822440984829E-2"/>
          <c:w val="0.18580244666132673"/>
          <c:h val="0.2396362040563470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[Welding Line Machine Breakdown.xlsx] Machine Wase Loss Time!PivotTable1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Machine</a:t>
            </a:r>
            <a:r>
              <a:rPr lang="en-US" baseline="0"/>
              <a:t> Wise Loss Time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Machine Wase Loss Time'!$B$3</c:f>
              <c:strCache>
                <c:ptCount val="1"/>
                <c:pt idx="0">
                  <c:v>Total</c:v>
                </c:pt>
              </c:strCache>
            </c:strRef>
          </c:tx>
          <c:spPr>
            <a:solidFill>
              <a:schemeClr val="accent1"/>
            </a:solidFill>
            <a:ln>
              <a:noFill/>
            </a:ln>
            <a:effectLst/>
          </c:spPr>
          <c:invertIfNegative val="0"/>
          <c:cat>
            <c:strRef>
              <c:f>' Machine Wase Loss Time'!$A$4:$A$10</c:f>
              <c:strCache>
                <c:ptCount val="6"/>
                <c:pt idx="0">
                  <c:v>W02</c:v>
                </c:pt>
                <c:pt idx="1">
                  <c:v>W03</c:v>
                </c:pt>
                <c:pt idx="2">
                  <c:v>W08</c:v>
                </c:pt>
                <c:pt idx="3">
                  <c:v>W09</c:v>
                </c:pt>
                <c:pt idx="4">
                  <c:v>W14</c:v>
                </c:pt>
                <c:pt idx="5">
                  <c:v>W16</c:v>
                </c:pt>
              </c:strCache>
            </c:strRef>
          </c:cat>
          <c:val>
            <c:numRef>
              <c:f>' Machine Wase Loss Time'!$B$4:$B$10</c:f>
              <c:numCache>
                <c:formatCode>0.0</c:formatCode>
                <c:ptCount val="6"/>
                <c:pt idx="0">
                  <c:v>6</c:v>
                </c:pt>
                <c:pt idx="1">
                  <c:v>3.5000000000000009</c:v>
                </c:pt>
                <c:pt idx="2">
                  <c:v>0.99999999999999778</c:v>
                </c:pt>
                <c:pt idx="3">
                  <c:v>4</c:v>
                </c:pt>
                <c:pt idx="4">
                  <c:v>0.50000000000000089</c:v>
                </c:pt>
                <c:pt idx="5">
                  <c:v>2.0000000000000022</c:v>
                </c:pt>
              </c:numCache>
            </c:numRef>
          </c:val>
          <c:extLst>
            <c:ext xmlns:c16="http://schemas.microsoft.com/office/drawing/2014/chart" uri="{C3380CC4-5D6E-409C-BE32-E72D297353CC}">
              <c16:uniqueId val="{00000000-94B4-4F77-876C-25F2479E090E}"/>
            </c:ext>
          </c:extLst>
        </c:ser>
        <c:dLbls>
          <c:showLegendKey val="0"/>
          <c:showVal val="0"/>
          <c:showCatName val="0"/>
          <c:showSerName val="0"/>
          <c:showPercent val="0"/>
          <c:showBubbleSize val="0"/>
        </c:dLbls>
        <c:gapWidth val="150"/>
        <c:overlap val="100"/>
        <c:axId val="357760352"/>
        <c:axId val="357759392"/>
      </c:barChart>
      <c:catAx>
        <c:axId val="35776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59392"/>
        <c:crosses val="autoZero"/>
        <c:auto val="1"/>
        <c:lblAlgn val="ctr"/>
        <c:lblOffset val="100"/>
        <c:noMultiLvlLbl val="0"/>
      </c:catAx>
      <c:valAx>
        <c:axId val="3577593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6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[Welding Line Machine Breakdown.xlsx] Machine Wase Loss Time!PivotTable2</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 Machine Wase Loss Time'!$F$3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DF-4CE1-AA54-65DBE1C481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69-4E27-BA37-DA95F6A7FC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69-4E27-BA37-DA95F6A7FC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69-4E27-BA37-DA95F6A7FC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569-4E27-BA37-DA95F6A7FCA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569-4E27-BA37-DA95F6A7FCA1}"/>
              </c:ext>
            </c:extLst>
          </c:dPt>
          <c:cat>
            <c:strRef>
              <c:f>' Machine Wase Loss Time'!$E$4:$E$9</c:f>
              <c:strCache>
                <c:ptCount val="5"/>
                <c:pt idx="0">
                  <c:v>Ismail</c:v>
                </c:pt>
                <c:pt idx="1">
                  <c:v>MNT</c:v>
                </c:pt>
                <c:pt idx="2">
                  <c:v>Shan</c:v>
                </c:pt>
                <c:pt idx="3">
                  <c:v>Sajid</c:v>
                </c:pt>
                <c:pt idx="4">
                  <c:v>Mustafa</c:v>
                </c:pt>
              </c:strCache>
            </c:strRef>
          </c:cat>
          <c:val>
            <c:numRef>
              <c:f>' Machine Wase Loss Time'!$F$4:$F$9</c:f>
              <c:numCache>
                <c:formatCode>General</c:formatCode>
                <c:ptCount val="5"/>
                <c:pt idx="0">
                  <c:v>7.4999999999999991</c:v>
                </c:pt>
                <c:pt idx="1">
                  <c:v>2.5000000000000018</c:v>
                </c:pt>
                <c:pt idx="2">
                  <c:v>5</c:v>
                </c:pt>
                <c:pt idx="3">
                  <c:v>1.0000000000000004</c:v>
                </c:pt>
                <c:pt idx="4">
                  <c:v>1.0000000000000018</c:v>
                </c:pt>
              </c:numCache>
            </c:numRef>
          </c:val>
          <c:extLst>
            <c:ext xmlns:c16="http://schemas.microsoft.com/office/drawing/2014/chart" uri="{C3380CC4-5D6E-409C-BE32-E72D297353CC}">
              <c16:uniqueId val="{00000002-E39A-43FE-838B-DA48C0755D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[Welding Line Machine Breakdown.xlsx] Date By Loss Production!PivotTable1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Date</a:t>
            </a:r>
            <a:r>
              <a:rPr lang="en-US" baseline="0"/>
              <a:t> Wise Loss Production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Date By Loss Production'!$B$3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Date By Loss Production'!$A$4:$A$11</c:f>
              <c:strCache>
                <c:ptCount val="7"/>
                <c:pt idx="0">
                  <c:v>11/1/2025</c:v>
                </c:pt>
                <c:pt idx="1">
                  <c:v>11/3/2025</c:v>
                </c:pt>
                <c:pt idx="2">
                  <c:v>11/4/2025</c:v>
                </c:pt>
                <c:pt idx="3">
                  <c:v>11/7/2025</c:v>
                </c:pt>
                <c:pt idx="4">
                  <c:v>11/12/2025</c:v>
                </c:pt>
                <c:pt idx="5">
                  <c:v>11/17/2025</c:v>
                </c:pt>
                <c:pt idx="6">
                  <c:v>11/18/2025</c:v>
                </c:pt>
              </c:strCache>
            </c:strRef>
          </c:cat>
          <c:val>
            <c:numRef>
              <c:f>' Date By Loss Production'!$B$4:$B$11</c:f>
              <c:numCache>
                <c:formatCode>0</c:formatCode>
                <c:ptCount val="7"/>
                <c:pt idx="0">
                  <c:v>2300</c:v>
                </c:pt>
                <c:pt idx="1">
                  <c:v>850</c:v>
                </c:pt>
                <c:pt idx="2">
                  <c:v>1800</c:v>
                </c:pt>
                <c:pt idx="3">
                  <c:v>100</c:v>
                </c:pt>
                <c:pt idx="4">
                  <c:v>300</c:v>
                </c:pt>
                <c:pt idx="5">
                  <c:v>300</c:v>
                </c:pt>
                <c:pt idx="6">
                  <c:v>520</c:v>
                </c:pt>
              </c:numCache>
            </c:numRef>
          </c:val>
          <c:smooth val="0"/>
          <c:extLst>
            <c:ext xmlns:c16="http://schemas.microsoft.com/office/drawing/2014/chart" uri="{C3380CC4-5D6E-409C-BE32-E72D297353CC}">
              <c16:uniqueId val="{00000002-FBB8-48F3-A5B7-3F3249094520}"/>
            </c:ext>
          </c:extLst>
        </c:ser>
        <c:dLbls>
          <c:showLegendKey val="0"/>
          <c:showVal val="0"/>
          <c:showCatName val="0"/>
          <c:showSerName val="0"/>
          <c:showPercent val="0"/>
          <c:showBubbleSize val="0"/>
        </c:dLbls>
        <c:marker val="1"/>
        <c:smooth val="0"/>
        <c:axId val="357775232"/>
        <c:axId val="357775712"/>
      </c:lineChart>
      <c:catAx>
        <c:axId val="35777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75712"/>
        <c:crosses val="autoZero"/>
        <c:auto val="1"/>
        <c:lblAlgn val="ctr"/>
        <c:lblOffset val="100"/>
        <c:noMultiLvlLbl val="0"/>
      </c:catAx>
      <c:valAx>
        <c:axId val="357775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7523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[Welding Line Machine Breakdown.xlsx] Date Wase loss TIme !PivotTable1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s>
    <c:plotArea>
      <c:layout>
        <c:manualLayout>
          <c:layoutTarget val="inner"/>
          <c:xMode val="edge"/>
          <c:yMode val="edge"/>
          <c:x val="0.16917125984251968"/>
          <c:y val="6.0185185185185182E-2"/>
          <c:w val="0.53888888888888886"/>
          <c:h val="0.89814814814814814"/>
        </c:manualLayout>
      </c:layout>
      <c:doughnutChart>
        <c:varyColors val="1"/>
        <c:ser>
          <c:idx val="0"/>
          <c:order val="0"/>
          <c:tx>
            <c:strRef>
              <c:f>' Date Wase loss TIme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1C-40E4-88B4-25F63409F9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1C-40E4-88B4-25F63409F9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1C-40E4-88B4-25F63409F9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1C-40E4-88B4-25F63409F9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B1C-40E4-88B4-25F63409F9E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B1C-40E4-88B4-25F63409F9E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B3C-4C0B-BE3F-8BB97FC850C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E53-4CE7-B592-CC6C9BC9858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7F3-43B0-A635-01DE87283C8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D3F-4581-9CA4-5C1E96F1BC3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37D-4B0C-A797-C1EC1E48316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16A-401F-91F2-897E7E546BF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F0F-45AE-99A4-98C5AFC14C6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ED3-4696-9433-36952761D14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3460-4E56-87AF-1A5AE00E039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AC3-472F-900E-D618C6F201B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632-4E23-B7DD-C7A321D53D6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632-4E23-B7DD-C7A321D53D6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5AE4-44E8-A64E-2B7CD47AB6A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326-4569-BB20-A06120FD2B39}"/>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E31-4A24-B210-F2BE7EB2A12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114-4DF6-B0AD-F2CB945F21E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114-4DF6-B0AD-F2CB945F21E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2F94-47CE-9434-450913EA945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2F94-47CE-9434-450913EA9454}"/>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2F94-47CE-9434-450913EA9454}"/>
              </c:ext>
            </c:extLst>
          </c:dPt>
          <c:cat>
            <c:strRef>
              <c:f>' Date Wase loss TIme '!$A$4:$A$11</c:f>
              <c:strCache>
                <c:ptCount val="7"/>
                <c:pt idx="0">
                  <c:v>11/1/2025</c:v>
                </c:pt>
                <c:pt idx="1">
                  <c:v>11/3/2025</c:v>
                </c:pt>
                <c:pt idx="2">
                  <c:v>11/4/2025</c:v>
                </c:pt>
                <c:pt idx="3">
                  <c:v>11/7/2025</c:v>
                </c:pt>
                <c:pt idx="4">
                  <c:v>11/12/2025</c:v>
                </c:pt>
                <c:pt idx="5">
                  <c:v>11/17/2025</c:v>
                </c:pt>
                <c:pt idx="6">
                  <c:v>11/18/2025</c:v>
                </c:pt>
              </c:strCache>
            </c:strRef>
          </c:cat>
          <c:val>
            <c:numRef>
              <c:f>' Date Wase loss TIme '!$B$4:$B$11</c:f>
              <c:numCache>
                <c:formatCode>General</c:formatCode>
                <c:ptCount val="7"/>
                <c:pt idx="0">
                  <c:v>5</c:v>
                </c:pt>
                <c:pt idx="1">
                  <c:v>2.4999999999999991</c:v>
                </c:pt>
                <c:pt idx="2">
                  <c:v>4.5</c:v>
                </c:pt>
                <c:pt idx="3">
                  <c:v>0.50000000000000089</c:v>
                </c:pt>
                <c:pt idx="4">
                  <c:v>1.5000000000000013</c:v>
                </c:pt>
                <c:pt idx="5">
                  <c:v>1.0000000000000004</c:v>
                </c:pt>
                <c:pt idx="6">
                  <c:v>2.0000000000000009</c:v>
                </c:pt>
              </c:numCache>
            </c:numRef>
          </c:val>
          <c:extLst>
            <c:ext xmlns:c16="http://schemas.microsoft.com/office/drawing/2014/chart" uri="{C3380CC4-5D6E-409C-BE32-E72D297353CC}">
              <c16:uniqueId val="{00000000-ACA7-4C7D-AEFF-E1F8DB3A015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595418</xdr:colOff>
      <xdr:row>2</xdr:row>
      <xdr:rowOff>44908</xdr:rowOff>
    </xdr:from>
    <xdr:to>
      <xdr:col>33</xdr:col>
      <xdr:colOff>475210</xdr:colOff>
      <xdr:row>59</xdr:row>
      <xdr:rowOff>114181</xdr:rowOff>
    </xdr:to>
    <xdr:sp macro="" textlink="">
      <xdr:nvSpPr>
        <xdr:cNvPr id="13" name="Rectangle 12">
          <a:extLst>
            <a:ext uri="{FF2B5EF4-FFF2-40B4-BE49-F238E27FC236}">
              <a16:creationId xmlns:a16="http://schemas.microsoft.com/office/drawing/2014/main" id="{96E02344-D537-1071-1DA5-D6A72E0FBFE4}"/>
            </a:ext>
          </a:extLst>
        </xdr:cNvPr>
        <xdr:cNvSpPr/>
      </xdr:nvSpPr>
      <xdr:spPr>
        <a:xfrm>
          <a:off x="1205018" y="425908"/>
          <a:ext cx="19491767" cy="1088967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lumMod val="60000"/>
                <a:lumOff val="40000"/>
              </a:schemeClr>
            </a:solidFill>
          </a:endParaRPr>
        </a:p>
      </xdr:txBody>
    </xdr:sp>
    <xdr:clientData/>
  </xdr:twoCellAnchor>
  <xdr:twoCellAnchor>
    <xdr:from>
      <xdr:col>2</xdr:col>
      <xdr:colOff>172873</xdr:colOff>
      <xdr:row>3</xdr:row>
      <xdr:rowOff>20348</xdr:rowOff>
    </xdr:from>
    <xdr:to>
      <xdr:col>33</xdr:col>
      <xdr:colOff>430695</xdr:colOff>
      <xdr:row>9</xdr:row>
      <xdr:rowOff>41639</xdr:rowOff>
    </xdr:to>
    <xdr:sp macro="" textlink="">
      <xdr:nvSpPr>
        <xdr:cNvPr id="2" name="Rectangle 1">
          <a:extLst>
            <a:ext uri="{FF2B5EF4-FFF2-40B4-BE49-F238E27FC236}">
              <a16:creationId xmlns:a16="http://schemas.microsoft.com/office/drawing/2014/main" id="{5F127DC5-B104-08F5-B0A8-3A6EE8456621}"/>
            </a:ext>
          </a:extLst>
        </xdr:cNvPr>
        <xdr:cNvSpPr/>
      </xdr:nvSpPr>
      <xdr:spPr>
        <a:xfrm>
          <a:off x="1411123" y="591848"/>
          <a:ext cx="19545947" cy="1164291"/>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1300" b="0" cap="none" spc="0">
              <a:ln w="0"/>
              <a:solidFill>
                <a:schemeClr val="bg1"/>
              </a:solidFill>
              <a:effectLst>
                <a:outerShdw blurRad="38100" dist="25400" dir="5400000" algn="ctr" rotWithShape="0">
                  <a:srgbClr val="6E747A">
                    <a:alpha val="43000"/>
                  </a:srgbClr>
                </a:outerShdw>
              </a:effectLst>
            </a:rPr>
            <a:t> </a:t>
          </a:r>
          <a:endParaRPr lang="en-US" sz="40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9</xdr:col>
      <xdr:colOff>346365</xdr:colOff>
      <xdr:row>9</xdr:row>
      <xdr:rowOff>146213</xdr:rowOff>
    </xdr:from>
    <xdr:to>
      <xdr:col>20</xdr:col>
      <xdr:colOff>403413</xdr:colOff>
      <xdr:row>32</xdr:row>
      <xdr:rowOff>122464</xdr:rowOff>
    </xdr:to>
    <xdr:graphicFrame macro="">
      <xdr:nvGraphicFramePr>
        <xdr:cNvPr id="5" name="Chart 4">
          <a:extLst>
            <a:ext uri="{FF2B5EF4-FFF2-40B4-BE49-F238E27FC236}">
              <a16:creationId xmlns:a16="http://schemas.microsoft.com/office/drawing/2014/main" id="{9C54943F-1C58-4EFF-BF26-32450EDAB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132363</xdr:colOff>
      <xdr:row>32</xdr:row>
      <xdr:rowOff>189572</xdr:rowOff>
    </xdr:from>
    <xdr:to>
      <xdr:col>25</xdr:col>
      <xdr:colOff>261811</xdr:colOff>
      <xdr:row>59</xdr:row>
      <xdr:rowOff>17318</xdr:rowOff>
    </xdr:to>
    <xdr:graphicFrame macro="">
      <xdr:nvGraphicFramePr>
        <xdr:cNvPr id="7" name="Chart 6">
          <a:extLst>
            <a:ext uri="{FF2B5EF4-FFF2-40B4-BE49-F238E27FC236}">
              <a16:creationId xmlns:a16="http://schemas.microsoft.com/office/drawing/2014/main" id="{AD6A1B1A-E66E-4BB2-8331-02AD41D0F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604629</xdr:colOff>
      <xdr:row>9</xdr:row>
      <xdr:rowOff>157654</xdr:rowOff>
    </xdr:from>
    <xdr:to>
      <xdr:col>33</xdr:col>
      <xdr:colOff>424962</xdr:colOff>
      <xdr:row>32</xdr:row>
      <xdr:rowOff>109905</xdr:rowOff>
    </xdr:to>
    <xdr:graphicFrame macro="">
      <xdr:nvGraphicFramePr>
        <xdr:cNvPr id="8" name="Chart 7">
          <a:extLst>
            <a:ext uri="{FF2B5EF4-FFF2-40B4-BE49-F238E27FC236}">
              <a16:creationId xmlns:a16="http://schemas.microsoft.com/office/drawing/2014/main" id="{B1BADE34-9E48-43FB-89A8-AA6FA5E0C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402011</xdr:colOff>
      <xdr:row>25</xdr:row>
      <xdr:rowOff>106136</xdr:rowOff>
    </xdr:from>
    <xdr:to>
      <xdr:col>9</xdr:col>
      <xdr:colOff>234724</xdr:colOff>
      <xdr:row>32</xdr:row>
      <xdr:rowOff>95250</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995A4FD2-48A3-BCFE-3AE4-881038CC62A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757284" y="4834000"/>
              <a:ext cx="2863395" cy="13226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50500</xdr:colOff>
      <xdr:row>25</xdr:row>
      <xdr:rowOff>147223</xdr:rowOff>
    </xdr:from>
    <xdr:to>
      <xdr:col>4</xdr:col>
      <xdr:colOff>295428</xdr:colOff>
      <xdr:row>59</xdr:row>
      <xdr:rowOff>33618</xdr:rowOff>
    </xdr:to>
    <mc:AlternateContent xmlns:mc="http://schemas.openxmlformats.org/markup-compatibility/2006" xmlns:a14="http://schemas.microsoft.com/office/drawing/2010/main">
      <mc:Choice Requires="a14">
        <xdr:graphicFrame macro="">
          <xdr:nvGraphicFramePr>
            <xdr:cNvPr id="10" name=" ">
              <a:extLst>
                <a:ext uri="{FF2B5EF4-FFF2-40B4-BE49-F238E27FC236}">
                  <a16:creationId xmlns:a16="http://schemas.microsoft.com/office/drawing/2014/main" id="{7BA7F914-4341-460E-E973-34E4E33539CB}"/>
                </a:ext>
              </a:extLst>
            </xdr:cNvPr>
            <xdr:cNvGraphicFramePr/>
          </xdr:nvGraphicFramePr>
          <xdr:xfrm>
            <a:off x="0" y="0"/>
            <a:ext cx="0" cy="0"/>
          </xdr:xfrm>
          <a:graphic>
            <a:graphicData uri="http://schemas.microsoft.com/office/drawing/2010/slicer">
              <sle:slicer xmlns:sle="http://schemas.microsoft.com/office/drawing/2010/slicer" name=" "/>
            </a:graphicData>
          </a:graphic>
        </xdr:graphicFrame>
      </mc:Choice>
      <mc:Fallback xmlns="">
        <xdr:sp macro="" textlink="">
          <xdr:nvSpPr>
            <xdr:cNvPr id="0" name=""/>
            <xdr:cNvSpPr>
              <a:spLocks noTextEdit="1"/>
            </xdr:cNvSpPr>
          </xdr:nvSpPr>
          <xdr:spPr>
            <a:xfrm>
              <a:off x="1193500" y="4875087"/>
              <a:ext cx="1457201" cy="6363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408215</xdr:colOff>
      <xdr:row>32</xdr:row>
      <xdr:rowOff>176063</xdr:rowOff>
    </xdr:from>
    <xdr:to>
      <xdr:col>6</xdr:col>
      <xdr:colOff>86593</xdr:colOff>
      <xdr:row>59</xdr:row>
      <xdr:rowOff>33618</xdr:rowOff>
    </xdr:to>
    <mc:AlternateContent xmlns:mc="http://schemas.openxmlformats.org/markup-compatibility/2006" xmlns:a14="http://schemas.microsoft.com/office/drawing/2010/main">
      <mc:Choice Requires="a14">
        <xdr:graphicFrame macro="">
          <xdr:nvGraphicFramePr>
            <xdr:cNvPr id="11" name="Machine">
              <a:extLst>
                <a:ext uri="{FF2B5EF4-FFF2-40B4-BE49-F238E27FC236}">
                  <a16:creationId xmlns:a16="http://schemas.microsoft.com/office/drawing/2014/main" id="{C85A2723-217C-4C12-4B7E-B5C8DD1E6ED9}"/>
                </a:ext>
              </a:extLst>
            </xdr:cNvPr>
            <xdr:cNvGraphicFramePr/>
          </xdr:nvGraphicFramePr>
          <xdr:xfrm>
            <a:off x="0" y="0"/>
            <a:ext cx="0" cy="0"/>
          </xdr:xfrm>
          <a:graphic>
            <a:graphicData uri="http://schemas.microsoft.com/office/drawing/2010/slicer">
              <sle:slicer xmlns:sle="http://schemas.microsoft.com/office/drawing/2010/slicer" name="Machine"/>
            </a:graphicData>
          </a:graphic>
        </xdr:graphicFrame>
      </mc:Choice>
      <mc:Fallback xmlns="">
        <xdr:sp macro="" textlink="">
          <xdr:nvSpPr>
            <xdr:cNvPr id="0" name=""/>
            <xdr:cNvSpPr>
              <a:spLocks noTextEdit="1"/>
            </xdr:cNvSpPr>
          </xdr:nvSpPr>
          <xdr:spPr>
            <a:xfrm>
              <a:off x="2763488" y="6237427"/>
              <a:ext cx="890650" cy="5001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394609</xdr:colOff>
      <xdr:row>3</xdr:row>
      <xdr:rowOff>44985</xdr:rowOff>
    </xdr:from>
    <xdr:to>
      <xdr:col>6</xdr:col>
      <xdr:colOff>183697</xdr:colOff>
      <xdr:row>8</xdr:row>
      <xdr:rowOff>180295</xdr:rowOff>
    </xdr:to>
    <xdr:pic>
      <xdr:nvPicPr>
        <xdr:cNvPr id="4" name="Picture 3">
          <a:extLst>
            <a:ext uri="{FF2B5EF4-FFF2-40B4-BE49-F238E27FC236}">
              <a16:creationId xmlns:a16="http://schemas.microsoft.com/office/drawing/2014/main" id="{CD381456-A631-4256-24D7-440F02DF894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5548" b="25913"/>
        <a:stretch>
          <a:fillRect/>
        </a:stretch>
      </xdr:blipFill>
      <xdr:spPr>
        <a:xfrm>
          <a:off x="1619252" y="616485"/>
          <a:ext cx="2238374" cy="1087810"/>
        </a:xfrm>
        <a:prstGeom prst="rect">
          <a:avLst/>
        </a:prstGeom>
      </xdr:spPr>
    </xdr:pic>
    <xdr:clientData/>
  </xdr:twoCellAnchor>
  <xdr:twoCellAnchor>
    <xdr:from>
      <xdr:col>7</xdr:col>
      <xdr:colOff>476250</xdr:colOff>
      <xdr:row>3</xdr:row>
      <xdr:rowOff>119062</xdr:rowOff>
    </xdr:from>
    <xdr:to>
      <xdr:col>29</xdr:col>
      <xdr:colOff>452437</xdr:colOff>
      <xdr:row>8</xdr:row>
      <xdr:rowOff>166687</xdr:rowOff>
    </xdr:to>
    <xdr:sp macro="" textlink="">
      <xdr:nvSpPr>
        <xdr:cNvPr id="14" name="TextBox 13">
          <a:extLst>
            <a:ext uri="{FF2B5EF4-FFF2-40B4-BE49-F238E27FC236}">
              <a16:creationId xmlns:a16="http://schemas.microsoft.com/office/drawing/2014/main" id="{99D0221C-E06E-DEAC-1C4D-05C2F7E4BE62}"/>
            </a:ext>
          </a:extLst>
        </xdr:cNvPr>
        <xdr:cNvSpPr txBox="1"/>
      </xdr:nvSpPr>
      <xdr:spPr>
        <a:xfrm>
          <a:off x="3571875" y="309562"/>
          <a:ext cx="13692187" cy="1000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4800" b="1" u="none">
              <a:solidFill>
                <a:schemeClr val="bg1"/>
              </a:solidFill>
              <a:effectLst>
                <a:outerShdw blurRad="38100" dist="25400" dir="5400000" algn="ctr" rotWithShape="0">
                  <a:srgbClr val="6E747A">
                    <a:alpha val="43000"/>
                  </a:srgbClr>
                </a:outerShdw>
              </a:effectLst>
              <a:latin typeface="+mn-lt"/>
              <a:ea typeface="+mn-ea"/>
              <a:cs typeface="+mn-cs"/>
            </a:rPr>
            <a:t>Machine BreakDown </a:t>
          </a:r>
          <a:r>
            <a:rPr lang="en-US" sz="1100" b="1" u="none">
              <a:solidFill>
                <a:schemeClr val="bg1"/>
              </a:solidFill>
              <a:effectLst>
                <a:outerShdw blurRad="38100" dist="25400" dir="5400000" algn="ctr" rotWithShape="0">
                  <a:srgbClr val="6E747A">
                    <a:alpha val="43000"/>
                  </a:srgbClr>
                </a:outerShdw>
              </a:effectLst>
              <a:latin typeface="+mn-lt"/>
              <a:ea typeface="+mn-ea"/>
              <a:cs typeface="+mn-cs"/>
            </a:rPr>
            <a:t> </a:t>
          </a:r>
          <a:r>
            <a:rPr lang="en-US" sz="4800" b="1" u="none">
              <a:solidFill>
                <a:schemeClr val="bg1"/>
              </a:solidFill>
              <a:effectLst>
                <a:outerShdw blurRad="38100" dist="25400" dir="5400000" algn="ctr" rotWithShape="0">
                  <a:srgbClr val="6E747A">
                    <a:alpha val="43000"/>
                  </a:srgbClr>
                </a:outerShdw>
              </a:effectLst>
              <a:latin typeface="+mn-lt"/>
              <a:ea typeface="+mn-ea"/>
              <a:cs typeface="+mn-cs"/>
            </a:rPr>
            <a:t>Dashboard</a:t>
          </a:r>
          <a:r>
            <a:rPr lang="en-US" sz="1100" b="1" u="none">
              <a:solidFill>
                <a:schemeClr val="bg1"/>
              </a:solidFill>
              <a:effectLst>
                <a:outerShdw blurRad="38100" dist="25400" dir="5400000" algn="ctr" rotWithShape="0">
                  <a:srgbClr val="6E747A">
                    <a:alpha val="43000"/>
                  </a:srgbClr>
                </a:outerShdw>
              </a:effectLst>
              <a:latin typeface="+mn-lt"/>
              <a:ea typeface="+mn-ea"/>
              <a:cs typeface="+mn-cs"/>
            </a:rPr>
            <a:t>   </a:t>
          </a:r>
          <a:r>
            <a:rPr lang="en-US" sz="4800" b="1" u="none">
              <a:solidFill>
                <a:schemeClr val="bg1"/>
              </a:solidFill>
              <a:effectLst>
                <a:outerShdw blurRad="38100" dist="25400" dir="5400000" algn="ctr" rotWithShape="0">
                  <a:srgbClr val="6E747A">
                    <a:alpha val="43000"/>
                  </a:srgbClr>
                </a:outerShdw>
              </a:effectLst>
              <a:latin typeface="+mn-lt"/>
              <a:ea typeface="+mn-ea"/>
              <a:cs typeface="+mn-cs"/>
            </a:rPr>
            <a:t>(Welding Line)</a:t>
          </a:r>
          <a:endParaRPr lang="en-US" sz="4800" b="1" u="none">
            <a:solidFill>
              <a:schemeClr val="bg1"/>
            </a:solidFill>
            <a:effectLst/>
          </a:endParaRPr>
        </a:p>
        <a:p>
          <a:endParaRPr lang="en-US" sz="4800" b="1" u="none">
            <a:solidFill>
              <a:schemeClr val="bg1"/>
            </a:solidFill>
          </a:endParaRPr>
        </a:p>
      </xdr:txBody>
    </xdr:sp>
    <xdr:clientData/>
  </xdr:twoCellAnchor>
  <xdr:twoCellAnchor>
    <xdr:from>
      <xdr:col>2</xdr:col>
      <xdr:colOff>190499</xdr:colOff>
      <xdr:row>9</xdr:row>
      <xdr:rowOff>123265</xdr:rowOff>
    </xdr:from>
    <xdr:to>
      <xdr:col>5</xdr:col>
      <xdr:colOff>437029</xdr:colOff>
      <xdr:row>17</xdr:row>
      <xdr:rowOff>97344</xdr:rowOff>
    </xdr:to>
    <xdr:sp macro="" textlink="">
      <xdr:nvSpPr>
        <xdr:cNvPr id="16" name="Rectangle: Rounded Corners 15">
          <a:extLst>
            <a:ext uri="{FF2B5EF4-FFF2-40B4-BE49-F238E27FC236}">
              <a16:creationId xmlns:a16="http://schemas.microsoft.com/office/drawing/2014/main" id="{B14AA7FD-F94B-0215-00FC-1801017ECF56}"/>
            </a:ext>
          </a:extLst>
        </xdr:cNvPr>
        <xdr:cNvSpPr/>
      </xdr:nvSpPr>
      <xdr:spPr>
        <a:xfrm>
          <a:off x="1416325" y="1837765"/>
          <a:ext cx="2085269" cy="1498079"/>
        </a:xfrm>
        <a:prstGeom prst="roundRect">
          <a:avLst>
            <a:gd name="adj" fmla="val 4016"/>
          </a:avLst>
        </a:prstGeom>
        <a:solidFill>
          <a:schemeClr val="accent4">
            <a:lumMod val="20000"/>
            <a:lumOff val="80000"/>
          </a:schemeClr>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lumMod val="60000"/>
                <a:lumOff val="40000"/>
              </a:schemeClr>
            </a:solidFill>
          </a:endParaRPr>
        </a:p>
        <a:p>
          <a:pPr algn="l"/>
          <a:endParaRPr lang="en-US" sz="1100">
            <a:solidFill>
              <a:schemeClr val="accent2">
                <a:lumMod val="60000"/>
                <a:lumOff val="40000"/>
              </a:schemeClr>
            </a:solidFill>
          </a:endParaRPr>
        </a:p>
        <a:p>
          <a:pPr algn="l"/>
          <a:endParaRPr lang="en-US" sz="1100">
            <a:solidFill>
              <a:schemeClr val="accent2">
                <a:lumMod val="60000"/>
                <a:lumOff val="40000"/>
              </a:schemeClr>
            </a:solidFill>
          </a:endParaRPr>
        </a:p>
        <a:p>
          <a:pPr algn="l"/>
          <a:endParaRPr lang="en-US" sz="1100">
            <a:solidFill>
              <a:schemeClr val="accent2">
                <a:lumMod val="60000"/>
                <a:lumOff val="40000"/>
              </a:schemeClr>
            </a:solidFill>
          </a:endParaRPr>
        </a:p>
        <a:p>
          <a:pPr algn="l"/>
          <a:endParaRPr lang="en-US" sz="1100">
            <a:solidFill>
              <a:schemeClr val="accent2">
                <a:lumMod val="60000"/>
                <a:lumOff val="40000"/>
              </a:schemeClr>
            </a:solidFill>
          </a:endParaRPr>
        </a:p>
        <a:p>
          <a:pPr algn="l"/>
          <a:endParaRPr lang="en-US" sz="1100">
            <a:solidFill>
              <a:schemeClr val="accent2">
                <a:lumMod val="60000"/>
                <a:lumOff val="40000"/>
              </a:schemeClr>
            </a:solidFill>
          </a:endParaRPr>
        </a:p>
        <a:p>
          <a:pPr algn="l"/>
          <a:endParaRPr lang="en-US" sz="1100">
            <a:solidFill>
              <a:schemeClr val="accent2">
                <a:lumMod val="60000"/>
                <a:lumOff val="40000"/>
              </a:schemeClr>
            </a:solidFill>
          </a:endParaRPr>
        </a:p>
      </xdr:txBody>
    </xdr:sp>
    <xdr:clientData/>
  </xdr:twoCellAnchor>
  <xdr:twoCellAnchor>
    <xdr:from>
      <xdr:col>5</xdr:col>
      <xdr:colOff>601437</xdr:colOff>
      <xdr:row>9</xdr:row>
      <xdr:rowOff>140368</xdr:rowOff>
    </xdr:from>
    <xdr:to>
      <xdr:col>9</xdr:col>
      <xdr:colOff>247651</xdr:colOff>
      <xdr:row>17</xdr:row>
      <xdr:rowOff>95250</xdr:rowOff>
    </xdr:to>
    <xdr:sp macro="" textlink="">
      <xdr:nvSpPr>
        <xdr:cNvPr id="17" name="Rectangle: Rounded Corners 16">
          <a:extLst>
            <a:ext uri="{FF2B5EF4-FFF2-40B4-BE49-F238E27FC236}">
              <a16:creationId xmlns:a16="http://schemas.microsoft.com/office/drawing/2014/main" id="{B5A936B6-CCF7-484C-92D7-0244FC2BE398}"/>
            </a:ext>
          </a:extLst>
        </xdr:cNvPr>
        <xdr:cNvSpPr/>
      </xdr:nvSpPr>
      <xdr:spPr>
        <a:xfrm>
          <a:off x="3659463" y="1854868"/>
          <a:ext cx="2092635" cy="1478882"/>
        </a:xfrm>
        <a:prstGeom prst="roundRect">
          <a:avLst>
            <a:gd name="adj" fmla="val 2519"/>
          </a:avLst>
        </a:prstGeom>
        <a:solidFill>
          <a:schemeClr val="accent4">
            <a:lumMod val="20000"/>
            <a:lumOff val="80000"/>
          </a:schemeClr>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lumMod val="60000"/>
                <a:lumOff val="40000"/>
              </a:schemeClr>
            </a:solidFill>
          </a:endParaRPr>
        </a:p>
      </xdr:txBody>
    </xdr:sp>
    <xdr:clientData/>
  </xdr:twoCellAnchor>
  <xdr:twoCellAnchor>
    <xdr:from>
      <xdr:col>2</xdr:col>
      <xdr:colOff>152194</xdr:colOff>
      <xdr:row>17</xdr:row>
      <xdr:rowOff>160194</xdr:rowOff>
    </xdr:from>
    <xdr:to>
      <xdr:col>9</xdr:col>
      <xdr:colOff>210172</xdr:colOff>
      <xdr:row>25</xdr:row>
      <xdr:rowOff>41221</xdr:rowOff>
    </xdr:to>
    <xdr:sp macro="" textlink="">
      <xdr:nvSpPr>
        <xdr:cNvPr id="18" name="Rectangle: Rounded Corners 17">
          <a:extLst>
            <a:ext uri="{FF2B5EF4-FFF2-40B4-BE49-F238E27FC236}">
              <a16:creationId xmlns:a16="http://schemas.microsoft.com/office/drawing/2014/main" id="{EC12317A-AF9F-4B56-9D46-464227BE8B9B}"/>
            </a:ext>
          </a:extLst>
        </xdr:cNvPr>
        <xdr:cNvSpPr/>
      </xdr:nvSpPr>
      <xdr:spPr>
        <a:xfrm>
          <a:off x="1378020" y="3398694"/>
          <a:ext cx="4348369" cy="1363614"/>
        </a:xfrm>
        <a:prstGeom prst="roundRect">
          <a:avLst>
            <a:gd name="adj" fmla="val 7556"/>
          </a:avLst>
        </a:prstGeom>
        <a:solidFill>
          <a:schemeClr val="accent4">
            <a:lumMod val="20000"/>
            <a:lumOff val="80000"/>
          </a:schemeClr>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lumMod val="60000"/>
                <a:lumOff val="40000"/>
              </a:schemeClr>
            </a:solidFill>
          </a:endParaRPr>
        </a:p>
      </xdr:txBody>
    </xdr:sp>
    <xdr:clientData/>
  </xdr:twoCellAnchor>
  <xdr:twoCellAnchor>
    <xdr:from>
      <xdr:col>2</xdr:col>
      <xdr:colOff>190500</xdr:colOff>
      <xdr:row>9</xdr:row>
      <xdr:rowOff>17859</xdr:rowOff>
    </xdr:from>
    <xdr:to>
      <xdr:col>5</xdr:col>
      <xdr:colOff>536864</xdr:colOff>
      <xdr:row>14</xdr:row>
      <xdr:rowOff>121227</xdr:rowOff>
    </xdr:to>
    <xdr:sp macro="" textlink="">
      <xdr:nvSpPr>
        <xdr:cNvPr id="19" name="TextBox 18">
          <a:extLst>
            <a:ext uri="{FF2B5EF4-FFF2-40B4-BE49-F238E27FC236}">
              <a16:creationId xmlns:a16="http://schemas.microsoft.com/office/drawing/2014/main" id="{510BDE26-B438-7E0C-D491-7A619238B8C8}"/>
            </a:ext>
          </a:extLst>
        </xdr:cNvPr>
        <xdr:cNvSpPr txBox="1"/>
      </xdr:nvSpPr>
      <xdr:spPr>
        <a:xfrm>
          <a:off x="1402773" y="1732359"/>
          <a:ext cx="2164773" cy="1055868"/>
        </a:xfrm>
        <a:prstGeom prst="rect">
          <a:avLst/>
        </a:prstGeom>
        <a:noFill/>
        <a:ln w="381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b="1">
              <a:solidFill>
                <a:schemeClr val="accent2">
                  <a:lumMod val="75000"/>
                </a:schemeClr>
              </a:solidFill>
            </a:rPr>
            <a:t>TOTAL</a:t>
          </a:r>
          <a:r>
            <a:rPr lang="en-US" sz="2500" b="1" baseline="0">
              <a:solidFill>
                <a:schemeClr val="accent2">
                  <a:lumMod val="75000"/>
                </a:schemeClr>
              </a:solidFill>
            </a:rPr>
            <a:t> LOSS </a:t>
          </a:r>
        </a:p>
        <a:p>
          <a:pPr algn="ctr"/>
          <a:r>
            <a:rPr lang="en-US" sz="2500" b="1" baseline="0">
              <a:solidFill>
                <a:schemeClr val="accent2">
                  <a:lumMod val="75000"/>
                </a:schemeClr>
              </a:solidFill>
            </a:rPr>
            <a:t>TIME  (Hrs)</a:t>
          </a:r>
          <a:endParaRPr lang="en-US" sz="2500" b="1">
            <a:solidFill>
              <a:schemeClr val="accent2">
                <a:lumMod val="75000"/>
              </a:schemeClr>
            </a:solidFill>
          </a:endParaRPr>
        </a:p>
      </xdr:txBody>
    </xdr:sp>
    <xdr:clientData/>
  </xdr:twoCellAnchor>
  <xdr:twoCellAnchor>
    <xdr:from>
      <xdr:col>2</xdr:col>
      <xdr:colOff>561767</xdr:colOff>
      <xdr:row>17</xdr:row>
      <xdr:rowOff>188661</xdr:rowOff>
    </xdr:from>
    <xdr:to>
      <xdr:col>8</xdr:col>
      <xdr:colOff>614262</xdr:colOff>
      <xdr:row>20</xdr:row>
      <xdr:rowOff>111271</xdr:rowOff>
    </xdr:to>
    <xdr:sp macro="" textlink="">
      <xdr:nvSpPr>
        <xdr:cNvPr id="23" name="TextBox 22">
          <a:extLst>
            <a:ext uri="{FF2B5EF4-FFF2-40B4-BE49-F238E27FC236}">
              <a16:creationId xmlns:a16="http://schemas.microsoft.com/office/drawing/2014/main" id="{1E06E796-CB4F-4681-9A78-E2DA38839ABC}"/>
            </a:ext>
          </a:extLst>
        </xdr:cNvPr>
        <xdr:cNvSpPr txBox="1"/>
      </xdr:nvSpPr>
      <xdr:spPr>
        <a:xfrm>
          <a:off x="1800017" y="3427161"/>
          <a:ext cx="3767245" cy="44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accent2">
                  <a:lumMod val="75000"/>
                </a:schemeClr>
              </a:solidFill>
            </a:rPr>
            <a:t>DATE PERIOD</a:t>
          </a:r>
        </a:p>
      </xdr:txBody>
    </xdr:sp>
    <xdr:clientData/>
  </xdr:twoCellAnchor>
  <xdr:twoCellAnchor>
    <xdr:from>
      <xdr:col>5</xdr:col>
      <xdr:colOff>526690</xdr:colOff>
      <xdr:row>9</xdr:row>
      <xdr:rowOff>67949</xdr:rowOff>
    </xdr:from>
    <xdr:to>
      <xdr:col>9</xdr:col>
      <xdr:colOff>363683</xdr:colOff>
      <xdr:row>14</xdr:row>
      <xdr:rowOff>51955</xdr:rowOff>
    </xdr:to>
    <xdr:sp macro="" textlink="">
      <xdr:nvSpPr>
        <xdr:cNvPr id="24" name="TextBox 23">
          <a:extLst>
            <a:ext uri="{FF2B5EF4-FFF2-40B4-BE49-F238E27FC236}">
              <a16:creationId xmlns:a16="http://schemas.microsoft.com/office/drawing/2014/main" id="{22C6DE81-FD59-40FA-9D1F-FDF539B3731C}"/>
            </a:ext>
          </a:extLst>
        </xdr:cNvPr>
        <xdr:cNvSpPr txBox="1"/>
      </xdr:nvSpPr>
      <xdr:spPr>
        <a:xfrm>
          <a:off x="3557372" y="1782449"/>
          <a:ext cx="2261538" cy="936506"/>
        </a:xfrm>
        <a:prstGeom prst="rect">
          <a:avLst/>
        </a:prstGeom>
        <a:noFill/>
        <a:ln w="381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300" b="1">
              <a:solidFill>
                <a:schemeClr val="accent2">
                  <a:lumMod val="75000"/>
                </a:schemeClr>
              </a:solidFill>
              <a:latin typeface="Aptos ExtraBold" panose="020B0004020202020204" pitchFamily="34" charset="0"/>
            </a:rPr>
            <a:t>TOTAL</a:t>
          </a:r>
          <a:r>
            <a:rPr lang="en-US" sz="2300" b="1" baseline="0">
              <a:solidFill>
                <a:schemeClr val="accent2">
                  <a:lumMod val="75000"/>
                </a:schemeClr>
              </a:solidFill>
              <a:latin typeface="Aptos ExtraBold" panose="020B0004020202020204" pitchFamily="34" charset="0"/>
            </a:rPr>
            <a:t> LOSS PRODUCTION </a:t>
          </a:r>
          <a:endParaRPr lang="en-US" sz="2300" b="1">
            <a:solidFill>
              <a:schemeClr val="accent2">
                <a:lumMod val="75000"/>
              </a:schemeClr>
            </a:solidFill>
            <a:latin typeface="Aptos ExtraBold" panose="020B0004020202020204" pitchFamily="34" charset="0"/>
          </a:endParaRPr>
        </a:p>
      </xdr:txBody>
    </xdr:sp>
    <xdr:clientData/>
  </xdr:twoCellAnchor>
  <xdr:twoCellAnchor>
    <xdr:from>
      <xdr:col>2</xdr:col>
      <xdr:colOff>568204</xdr:colOff>
      <xdr:row>21</xdr:row>
      <xdr:rowOff>158353</xdr:rowOff>
    </xdr:from>
    <xdr:to>
      <xdr:col>8</xdr:col>
      <xdr:colOff>593480</xdr:colOff>
      <xdr:row>25</xdr:row>
      <xdr:rowOff>9525</xdr:rowOff>
    </xdr:to>
    <xdr:sp macro="" textlink="">
      <xdr:nvSpPr>
        <xdr:cNvPr id="28" name="TextBox 27">
          <a:extLst>
            <a:ext uri="{FF2B5EF4-FFF2-40B4-BE49-F238E27FC236}">
              <a16:creationId xmlns:a16="http://schemas.microsoft.com/office/drawing/2014/main" id="{A6C0108B-F05E-4245-89DA-EA1704D81497}"/>
            </a:ext>
          </a:extLst>
        </xdr:cNvPr>
        <xdr:cNvSpPr txBox="1"/>
      </xdr:nvSpPr>
      <xdr:spPr>
        <a:xfrm>
          <a:off x="568204" y="3777853"/>
          <a:ext cx="3674084" cy="613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601431</xdr:colOff>
      <xdr:row>14</xdr:row>
      <xdr:rowOff>27428</xdr:rowOff>
    </xdr:from>
    <xdr:to>
      <xdr:col>5</xdr:col>
      <xdr:colOff>358588</xdr:colOff>
      <xdr:row>17</xdr:row>
      <xdr:rowOff>69100</xdr:rowOff>
    </xdr:to>
    <xdr:sp macro="" textlink="' Machine Wase Loss Time'!A25">
      <xdr:nvSpPr>
        <xdr:cNvPr id="29" name="TextBox 28">
          <a:extLst>
            <a:ext uri="{FF2B5EF4-FFF2-40B4-BE49-F238E27FC236}">
              <a16:creationId xmlns:a16="http://schemas.microsoft.com/office/drawing/2014/main" id="{A8AA26B8-7BDA-4515-947B-2C18834EC495}"/>
            </a:ext>
          </a:extLst>
        </xdr:cNvPr>
        <xdr:cNvSpPr txBox="1"/>
      </xdr:nvSpPr>
      <xdr:spPr>
        <a:xfrm>
          <a:off x="601431" y="2313428"/>
          <a:ext cx="1572510" cy="613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6F4F7A-B917-4444-9A82-F425971CB87C}" type="TxLink">
            <a:rPr lang="en-US" sz="3200" b="1" i="0" u="none" strike="noStrike">
              <a:solidFill>
                <a:srgbClr val="000000"/>
              </a:solidFill>
              <a:latin typeface="Calibri"/>
              <a:ea typeface="Calibri"/>
              <a:cs typeface="Calibri"/>
            </a:rPr>
            <a:pPr/>
            <a:t> </a:t>
          </a:fld>
          <a:endParaRPr lang="en-US" sz="7200" b="1"/>
        </a:p>
      </xdr:txBody>
    </xdr:sp>
    <xdr:clientData/>
  </xdr:twoCellAnchor>
  <xdr:twoCellAnchor>
    <xdr:from>
      <xdr:col>6</xdr:col>
      <xdr:colOff>410937</xdr:colOff>
      <xdr:row>14</xdr:row>
      <xdr:rowOff>4902</xdr:rowOff>
    </xdr:from>
    <xdr:to>
      <xdr:col>8</xdr:col>
      <xdr:colOff>521946</xdr:colOff>
      <xdr:row>17</xdr:row>
      <xdr:rowOff>46574</xdr:rowOff>
    </xdr:to>
    <xdr:sp macro="" textlink="' Machine Wase Loss Time'!B25">
      <xdr:nvSpPr>
        <xdr:cNvPr id="30" name="TextBox 29">
          <a:extLst>
            <a:ext uri="{FF2B5EF4-FFF2-40B4-BE49-F238E27FC236}">
              <a16:creationId xmlns:a16="http://schemas.microsoft.com/office/drawing/2014/main" id="{DBD9A178-5757-4CED-AF59-F9C3B852BFBB}"/>
            </a:ext>
          </a:extLst>
        </xdr:cNvPr>
        <xdr:cNvSpPr txBox="1"/>
      </xdr:nvSpPr>
      <xdr:spPr>
        <a:xfrm>
          <a:off x="2831408" y="2290902"/>
          <a:ext cx="1321244" cy="613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E376D4-4861-49AD-95BA-62C7E0F7F8A6}" type="TxLink">
            <a:rPr lang="en-US" sz="3200" b="1" i="0" u="none" strike="noStrike">
              <a:solidFill>
                <a:srgbClr val="000000"/>
              </a:solidFill>
              <a:latin typeface="Calibri"/>
              <a:ea typeface="Calibri"/>
              <a:cs typeface="Calibri"/>
            </a:rPr>
            <a:pPr/>
            <a:t> </a:t>
          </a:fld>
          <a:endParaRPr lang="en-US" sz="3200" b="1"/>
        </a:p>
      </xdr:txBody>
    </xdr:sp>
    <xdr:clientData/>
  </xdr:twoCellAnchor>
  <xdr:twoCellAnchor>
    <xdr:from>
      <xdr:col>2</xdr:col>
      <xdr:colOff>392603</xdr:colOff>
      <xdr:row>19</xdr:row>
      <xdr:rowOff>167141</xdr:rowOff>
    </xdr:from>
    <xdr:to>
      <xdr:col>9</xdr:col>
      <xdr:colOff>58604</xdr:colOff>
      <xdr:row>25</xdr:row>
      <xdr:rowOff>71437</xdr:rowOff>
    </xdr:to>
    <xdr:sp macro="" textlink="">
      <xdr:nvSpPr>
        <xdr:cNvPr id="31" name="TextBox 30">
          <a:extLst>
            <a:ext uri="{FF2B5EF4-FFF2-40B4-BE49-F238E27FC236}">
              <a16:creationId xmlns:a16="http://schemas.microsoft.com/office/drawing/2014/main" id="{AB5067E8-D702-4DBE-9B23-44AA26118416}"/>
            </a:ext>
          </a:extLst>
        </xdr:cNvPr>
        <xdr:cNvSpPr txBox="1"/>
      </xdr:nvSpPr>
      <xdr:spPr>
        <a:xfrm>
          <a:off x="1630853" y="3739016"/>
          <a:ext cx="3999876" cy="1047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rgbClr val="000000"/>
              </a:solidFill>
              <a:latin typeface="Calibri"/>
              <a:ea typeface="Calibri"/>
              <a:cs typeface="Calibri"/>
            </a:rPr>
            <a:t>1 Nov &amp; 3 </a:t>
          </a:r>
          <a:r>
            <a:rPr lang="en-US" sz="2800" b="1" i="0">
              <a:solidFill>
                <a:schemeClr val="dk1"/>
              </a:solidFill>
              <a:effectLst/>
              <a:latin typeface="+mn-lt"/>
              <a:ea typeface="+mn-ea"/>
              <a:cs typeface="+mn-cs"/>
            </a:rPr>
            <a:t>Nov </a:t>
          </a:r>
          <a:endParaRPr lang="en-US" sz="2800" b="1" i="0" u="none" strike="noStrike">
            <a:solidFill>
              <a:srgbClr val="000000"/>
            </a:solidFill>
            <a:latin typeface="Calibri"/>
            <a:ea typeface="Calibri"/>
            <a:cs typeface="Calibri"/>
          </a:endParaRPr>
        </a:p>
      </xdr:txBody>
    </xdr:sp>
    <xdr:clientData/>
  </xdr:twoCellAnchor>
  <xdr:twoCellAnchor>
    <xdr:from>
      <xdr:col>25</xdr:col>
      <xdr:colOff>326571</xdr:colOff>
      <xdr:row>33</xdr:row>
      <xdr:rowOff>0</xdr:rowOff>
    </xdr:from>
    <xdr:to>
      <xdr:col>33</xdr:col>
      <xdr:colOff>377598</xdr:colOff>
      <xdr:row>59</xdr:row>
      <xdr:rowOff>13608</xdr:rowOff>
    </xdr:to>
    <xdr:graphicFrame macro="">
      <xdr:nvGraphicFramePr>
        <xdr:cNvPr id="3" name="Chart 2">
          <a:extLst>
            <a:ext uri="{FF2B5EF4-FFF2-40B4-BE49-F238E27FC236}">
              <a16:creationId xmlns:a16="http://schemas.microsoft.com/office/drawing/2014/main" id="{8C000446-6C4C-43F6-8A0D-AD457BDDD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2</xdr:row>
      <xdr:rowOff>180975</xdr:rowOff>
    </xdr:from>
    <xdr:to>
      <xdr:col>17</xdr:col>
      <xdr:colOff>304800</xdr:colOff>
      <xdr:row>17</xdr:row>
      <xdr:rowOff>66675</xdr:rowOff>
    </xdr:to>
    <xdr:graphicFrame macro="">
      <xdr:nvGraphicFramePr>
        <xdr:cNvPr id="2" name="Chart 1">
          <a:extLst>
            <a:ext uri="{FF2B5EF4-FFF2-40B4-BE49-F238E27FC236}">
              <a16:creationId xmlns:a16="http://schemas.microsoft.com/office/drawing/2014/main" id="{33D18E80-8A49-E6F8-8676-54C5C271A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18</xdr:row>
      <xdr:rowOff>76200</xdr:rowOff>
    </xdr:from>
    <xdr:to>
      <xdr:col>14</xdr:col>
      <xdr:colOff>419100</xdr:colOff>
      <xdr:row>31</xdr:row>
      <xdr:rowOff>19050</xdr:rowOff>
    </xdr:to>
    <xdr:graphicFrame macro="">
      <xdr:nvGraphicFramePr>
        <xdr:cNvPr id="3" name="Chart 2">
          <a:extLst>
            <a:ext uri="{FF2B5EF4-FFF2-40B4-BE49-F238E27FC236}">
              <a16:creationId xmlns:a16="http://schemas.microsoft.com/office/drawing/2014/main" id="{9E4532CE-2434-9E1D-F965-C58998AF9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161925</xdr:colOff>
      <xdr:row>2</xdr:row>
      <xdr:rowOff>95250</xdr:rowOff>
    </xdr:from>
    <xdr:to>
      <xdr:col>10</xdr:col>
      <xdr:colOff>466725</xdr:colOff>
      <xdr:row>16</xdr:row>
      <xdr:rowOff>171450</xdr:rowOff>
    </xdr:to>
    <xdr:graphicFrame macro="">
      <xdr:nvGraphicFramePr>
        <xdr:cNvPr id="3" name="Chart 2">
          <a:extLst>
            <a:ext uri="{FF2B5EF4-FFF2-40B4-BE49-F238E27FC236}">
              <a16:creationId xmlns:a16="http://schemas.microsoft.com/office/drawing/2014/main" id="{1C55B4A3-0939-0046-9826-67D9552E3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5</xdr:row>
      <xdr:rowOff>133350</xdr:rowOff>
    </xdr:from>
    <xdr:to>
      <xdr:col>11</xdr:col>
      <xdr:colOff>304800</xdr:colOff>
      <xdr:row>20</xdr:row>
      <xdr:rowOff>19050</xdr:rowOff>
    </xdr:to>
    <xdr:graphicFrame macro="">
      <xdr:nvGraphicFramePr>
        <xdr:cNvPr id="2" name="Chart 1">
          <a:extLst>
            <a:ext uri="{FF2B5EF4-FFF2-40B4-BE49-F238E27FC236}">
              <a16:creationId xmlns:a16="http://schemas.microsoft.com/office/drawing/2014/main" id="{EA20734D-CB49-DE3D-1A1C-A7EAFAB95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 Ali (Comp_HNR)" refreshedDate="45980.469091666666" createdVersion="8" refreshedVersion="8" minRefreshableVersion="3" recordCount="13" xr:uid="{388CDF68-F99D-4693-B236-AB885259E774}">
  <cacheSource type="worksheet">
    <worksheetSource name="Table2"/>
  </cacheSource>
  <cacheFields count="11">
    <cacheField name="S.No" numFmtId="0">
      <sharedItems containsSemiMixedTypes="0" containsString="0" containsNumber="1" containsInteger="1" minValue="1" maxValue="13"/>
    </cacheField>
    <cacheField name="Date" numFmtId="164">
      <sharedItems containsSemiMixedTypes="0" containsNonDate="0" containsDate="1" containsString="0" minDate="2025-09-02T00:00:00" maxDate="2025-11-19T00:00:00" count="44">
        <d v="2025-11-01T00:00:00"/>
        <d v="2025-11-03T00:00:00"/>
        <d v="2025-11-04T00:00:00"/>
        <d v="2025-11-07T00:00:00"/>
        <d v="2025-11-12T00:00:00"/>
        <d v="2025-11-17T00:00:00"/>
        <d v="2025-11-18T00:00:00"/>
        <d v="2025-09-02T00:00:00" u="1"/>
        <d v="2025-09-03T00:00:00" u="1"/>
        <d v="2025-09-04T00:00:00" u="1"/>
        <d v="2025-09-05T00:00:00" u="1"/>
        <d v="2025-09-08T00:00:00" u="1"/>
        <d v="2025-09-09T00:00:00" u="1"/>
        <d v="2025-09-10T00:00:00" u="1"/>
        <d v="2025-09-11T00:00:00" u="1"/>
        <d v="2025-09-12T00:00:00" u="1"/>
        <d v="2025-09-15T00:00:00" u="1"/>
        <d v="2025-09-16T00:00:00" u="1"/>
        <d v="2025-09-17T00:00:00" u="1"/>
        <d v="2025-09-18T00:00:00" u="1"/>
        <d v="2025-09-19T00:00:00" u="1"/>
        <d v="2025-09-20T00:00:00" u="1"/>
        <d v="2025-09-22T00:00:00" u="1"/>
        <d v="2025-09-23T00:00:00" u="1"/>
        <d v="2025-09-24T00:00:00" u="1"/>
        <d v="2025-09-25T00:00:00" u="1"/>
        <d v="2025-09-26T00:00:00" u="1"/>
        <d v="2025-10-01T00:00:00" u="1"/>
        <d v="2025-10-03T00:00:00" u="1"/>
        <d v="2025-10-04T00:00:00" u="1"/>
        <d v="2025-10-06T00:00:00" u="1"/>
        <d v="2025-10-07T00:00:00" u="1"/>
        <d v="2025-10-08T00:00:00" u="1"/>
        <d v="2025-10-09T00:00:00" u="1"/>
        <d v="2025-10-10T00:00:00" u="1"/>
        <d v="2025-10-11T00:00:00" u="1"/>
        <d v="2025-10-13T00:00:00" u="1"/>
        <d v="2025-10-14T00:00:00" u="1"/>
        <d v="2025-10-17T00:00:00" u="1"/>
        <d v="2025-10-18T00:00:00" u="1"/>
        <d v="2025-10-21T00:00:00" u="1"/>
        <d v="2025-10-23T00:00:00" u="1"/>
        <d v="2025-10-24T00:00:00" u="1"/>
        <d v="2025-10-25T00:00:00" u="1"/>
      </sharedItems>
    </cacheField>
    <cacheField name="Machine" numFmtId="0">
      <sharedItems containsBlank="1" count="25">
        <s v="W02"/>
        <s v="W09"/>
        <s v="W03"/>
        <s v="W08"/>
        <s v="W14"/>
        <s v="W16"/>
        <m u="1"/>
        <s v="W01" u="1"/>
        <s v="W04" u="1"/>
        <s v="W15" u="1"/>
        <s v="W06" u="1"/>
        <s v="W10" u="1"/>
        <s v="W11" u="1"/>
        <s v="W07" u="1"/>
        <s v="W05" u="1"/>
        <s v="W13" u="1"/>
        <s v="W12" u="1"/>
        <s v="W17" u="1"/>
        <s v="W2" u="1"/>
        <s v="W3" u="1"/>
        <s v="W5" u="1"/>
        <s v="W9" u="1"/>
        <s v="W008" u="1"/>
        <s v="W6" u="1"/>
        <s v="W8" u="1"/>
      </sharedItems>
    </cacheField>
    <cacheField name="Poblem" numFmtId="0">
      <sharedItems/>
    </cacheField>
    <cacheField name="Solution" numFmtId="0">
      <sharedItems/>
    </cacheField>
    <cacheField name="Stop Time" numFmtId="165">
      <sharedItems containsSemiMixedTypes="0" containsNonDate="0" containsDate="1" containsString="0" minDate="1899-12-30T08:00:00" maxDate="1899-12-30T16:30:00"/>
    </cacheField>
    <cacheField name="Start Time" numFmtId="165">
      <sharedItems containsSemiMixedTypes="0" containsNonDate="0" containsDate="1" containsString="0" minDate="1899-12-30T09:00:00" maxDate="1899-12-30T17:00:00"/>
    </cacheField>
    <cacheField name="T-loss Time(Hrs)" numFmtId="2">
      <sharedItems containsSemiMixedTypes="0" containsString="0" containsNumber="1" minValue="0.49999999999999822" maxValue="4.0000000000000009"/>
    </cacheField>
    <cacheField name="Production Loss Qty" numFmtId="0">
      <sharedItems containsSemiMixedTypes="0" containsString="0" containsNumber="1" containsInteger="1" minValue="75" maxValue="1600"/>
    </cacheField>
    <cacheField name="SBU" numFmtId="0">
      <sharedItems containsBlank="1" count="10">
        <s v="Ismail"/>
        <s v="Sajid"/>
        <s v="Shan"/>
        <s v="MNT"/>
        <s v="Mustafa"/>
        <m u="1"/>
        <s v="PMC" u="1"/>
        <s v="Pipe Bending" u="1"/>
        <s v="QC" u="1"/>
        <s v="Sajjd" u="1"/>
      </sharedItems>
    </cacheField>
    <cacheField name="Remarks" numFmtId="0">
      <sharedItems containsBlank="1"/>
    </cacheField>
  </cacheFields>
  <extLst>
    <ext xmlns:x14="http://schemas.microsoft.com/office/spreadsheetml/2009/9/main" uri="{725AE2AE-9491-48be-B2B4-4EB974FC3084}">
      <x14:pivotCacheDefinition pivotCacheId="275338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n v="1"/>
    <x v="0"/>
    <x v="0"/>
    <s v="Material "/>
    <s v="Setup PerModel"/>
    <d v="1899-12-30T09:00:00"/>
    <d v="1899-12-30T11:00:00"/>
    <n v="1.9999999999999996"/>
    <n v="800"/>
    <x v="0"/>
    <m/>
  </r>
  <r>
    <n v="2"/>
    <x v="0"/>
    <x v="1"/>
    <s v="Material "/>
    <s v="Die Setup Per Plan"/>
    <d v="1899-12-30T08:00:00"/>
    <d v="1899-12-30T11:00:00"/>
    <n v="3"/>
    <n v="1500"/>
    <x v="0"/>
    <s v="Supplir Side Issue"/>
  </r>
  <r>
    <n v="3"/>
    <x v="1"/>
    <x v="2"/>
    <s v="Bending Part Not Available "/>
    <s v="Slow Working"/>
    <d v="1899-12-30T09:00:00"/>
    <d v="1899-12-30T10:00:00"/>
    <n v="1.0000000000000004"/>
    <n v="400"/>
    <x v="1"/>
    <m/>
  </r>
  <r>
    <n v="4"/>
    <x v="1"/>
    <x v="3"/>
    <s v="Model Change "/>
    <s v="Die Change+HMI Setting "/>
    <d v="1899-12-30T14:00:00"/>
    <d v="1899-12-30T14:30:00"/>
    <n v="0.49999999999999822"/>
    <n v="250"/>
    <x v="0"/>
    <m/>
  </r>
  <r>
    <n v="5"/>
    <x v="1"/>
    <x v="1"/>
    <s v="Model Change "/>
    <s v="Die Change+HMI Setting "/>
    <d v="1899-12-30T08:00:00"/>
    <d v="1899-12-30T09:00:00"/>
    <n v="1.0000000000000004"/>
    <n v="200"/>
    <x v="0"/>
    <m/>
  </r>
  <r>
    <n v="6"/>
    <x v="2"/>
    <x v="0"/>
    <s v="Mateial Not Available "/>
    <s v="Fg Material Not Available "/>
    <d v="1899-12-30T12:00:00"/>
    <d v="1899-12-30T17:00:00"/>
    <n v="4.0000000000000009"/>
    <n v="1600"/>
    <x v="2"/>
    <m/>
  </r>
  <r>
    <n v="7"/>
    <x v="2"/>
    <x v="3"/>
    <s v="Model Change "/>
    <s v="Die Change+HMI Setting "/>
    <d v="1899-12-30T11:30:00"/>
    <d v="1899-12-30T12:00:00"/>
    <n v="0.49999999999999956"/>
    <n v="200"/>
    <x v="0"/>
    <m/>
  </r>
  <r>
    <n v="8"/>
    <x v="3"/>
    <x v="2"/>
    <s v="Water change"/>
    <s v="Machine Start"/>
    <d v="1899-12-30T16:30:00"/>
    <d v="1899-12-30T17:00:00"/>
    <n v="0.50000000000000089"/>
    <n v="100"/>
    <x v="0"/>
    <m/>
  </r>
  <r>
    <n v="9"/>
    <x v="4"/>
    <x v="2"/>
    <s v="Weldeing Heater Issue "/>
    <s v="Change Welding Heater "/>
    <d v="1899-12-30T09:00:00"/>
    <d v="1899-12-30T10:00:00"/>
    <n v="1.0000000000000004"/>
    <n v="225"/>
    <x v="3"/>
    <m/>
  </r>
  <r>
    <n v="10"/>
    <x v="4"/>
    <x v="4"/>
    <s v="Welging Torch NRV  Block"/>
    <s v="Change NRV"/>
    <d v="1899-12-30T11:00:00"/>
    <d v="1899-12-30T11:30:00"/>
    <n v="0.50000000000000089"/>
    <n v="75"/>
    <x v="3"/>
    <m/>
  </r>
  <r>
    <n v="11"/>
    <x v="5"/>
    <x v="5"/>
    <s v="Welging Torch NRV  Block"/>
    <s v="Change NRV"/>
    <d v="1899-12-30T09:00:00"/>
    <d v="1899-12-30T10:00:00"/>
    <n v="1.0000000000000004"/>
    <n v="300"/>
    <x v="3"/>
    <m/>
  </r>
  <r>
    <n v="12"/>
    <x v="6"/>
    <x v="2"/>
    <s v="Welding Ring Not Available "/>
    <s v="Machine Off"/>
    <d v="1899-12-30T12:00:00"/>
    <d v="1899-12-30T13:00:00"/>
    <n v="0.99999999999999911"/>
    <n v="220"/>
    <x v="2"/>
    <m/>
  </r>
  <r>
    <n v="13"/>
    <x v="6"/>
    <x v="5"/>
    <s v="Model Change "/>
    <s v="next Table Start "/>
    <d v="1899-12-30T16:00:00"/>
    <d v="1899-12-30T17:00:00"/>
    <n v="1.0000000000000018"/>
    <n v="300"/>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4F825B-B5A5-4F05-9579-32C16A35D2EA}" name="PivotTable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A3:B10" firstHeaderRow="1" firstDataRow="1" firstDataCol="1"/>
  <pivotFields count="11">
    <pivotField showAll="0"/>
    <pivotField showAll="0">
      <items count="45">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x="0"/>
        <item x="1"/>
        <item x="2"/>
        <item x="3"/>
        <item x="4"/>
        <item x="5"/>
        <item x="6"/>
        <item t="default"/>
      </items>
    </pivotField>
    <pivotField axis="axisRow" showAll="0" sortType="ascending">
      <items count="26">
        <item m="1" x="22"/>
        <item m="1" x="7"/>
        <item x="0"/>
        <item x="2"/>
        <item m="1" x="8"/>
        <item m="1" x="14"/>
        <item m="1" x="10"/>
        <item m="1" x="13"/>
        <item x="3"/>
        <item x="1"/>
        <item m="1" x="11"/>
        <item m="1" x="12"/>
        <item m="1" x="16"/>
        <item m="1" x="15"/>
        <item x="4"/>
        <item m="1" x="9"/>
        <item x="5"/>
        <item m="1" x="17"/>
        <item m="1" x="18"/>
        <item m="1" x="19"/>
        <item m="1" x="20"/>
        <item m="1" x="23"/>
        <item m="1" x="24"/>
        <item m="1" x="21"/>
        <item m="1" x="6"/>
        <item t="default"/>
      </items>
    </pivotField>
    <pivotField showAll="0"/>
    <pivotField showAll="0"/>
    <pivotField showAll="0"/>
    <pivotField showAll="0"/>
    <pivotField dataField="1" showAll="0"/>
    <pivotField showAll="0"/>
    <pivotField showAll="0"/>
    <pivotField showAll="0"/>
  </pivotFields>
  <rowFields count="1">
    <field x="2"/>
  </rowFields>
  <rowItems count="7">
    <i>
      <x v="2"/>
    </i>
    <i>
      <x v="3"/>
    </i>
    <i>
      <x v="8"/>
    </i>
    <i>
      <x v="9"/>
    </i>
    <i>
      <x v="14"/>
    </i>
    <i>
      <x v="16"/>
    </i>
    <i t="grand">
      <x/>
    </i>
  </rowItems>
  <colItems count="1">
    <i/>
  </colItems>
  <dataFields count="1">
    <dataField name="Sum of T-loss Time(Hrs)" fld="7" baseField="0" baseItem="0"/>
  </dataFields>
  <formats count="13">
    <format dxfId="47">
      <pivotArea collapsedLevelsAreSubtotals="1" fieldPosition="0">
        <references count="1">
          <reference field="2" count="0"/>
        </references>
      </pivotArea>
    </format>
    <format dxfId="46">
      <pivotArea type="all" dataOnly="0" outline="0" fieldPosition="0"/>
    </format>
    <format dxfId="45">
      <pivotArea outline="0" collapsedLevelsAreSubtotals="1" fieldPosition="0"/>
    </format>
    <format dxfId="44">
      <pivotArea field="2" type="button" dataOnly="0" labelOnly="1" outline="0" axis="axisRow" fieldPosition="0"/>
    </format>
    <format dxfId="43">
      <pivotArea dataOnly="0" labelOnly="1" fieldPosition="0">
        <references count="1">
          <reference field="2" count="18">
            <x v="1"/>
            <x v="2"/>
            <x v="3"/>
            <x v="4"/>
            <x v="5"/>
            <x v="6"/>
            <x v="7"/>
            <x v="8"/>
            <x v="9"/>
            <x v="10"/>
            <x v="11"/>
            <x v="12"/>
            <x v="13"/>
            <x v="14"/>
            <x v="15"/>
            <x v="16"/>
            <x v="17"/>
            <x v="23"/>
          </reference>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2" type="button" dataOnly="0" labelOnly="1" outline="0" axis="axisRow" fieldPosition="0"/>
    </format>
    <format dxfId="37">
      <pivotArea dataOnly="0" labelOnly="1" fieldPosition="0">
        <references count="1">
          <reference field="2" count="18">
            <x v="1"/>
            <x v="2"/>
            <x v="3"/>
            <x v="4"/>
            <x v="5"/>
            <x v="6"/>
            <x v="7"/>
            <x v="8"/>
            <x v="9"/>
            <x v="10"/>
            <x v="11"/>
            <x v="12"/>
            <x v="13"/>
            <x v="14"/>
            <x v="15"/>
            <x v="16"/>
            <x v="17"/>
            <x v="23"/>
          </reference>
        </references>
      </pivotArea>
    </format>
    <format dxfId="36">
      <pivotArea dataOnly="0" labelOnly="1" grandRow="1" outline="0" fieldPosition="0"/>
    </format>
    <format dxfId="3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604C72-9ED7-47F9-BD37-3F47A1B21F33}" name="PivotTable2"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rowHeaderCaption=" SBU">
  <location ref="E3:F9" firstHeaderRow="1" firstDataRow="1" firstDataCol="1"/>
  <pivotFields count="11">
    <pivotField showAll="0"/>
    <pivotField showAll="0">
      <items count="45">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x="0"/>
        <item x="1"/>
        <item x="2"/>
        <item x="3"/>
        <item x="4"/>
        <item x="5"/>
        <item x="6"/>
        <item t="default"/>
      </items>
    </pivotField>
    <pivotField showAll="0" sortType="ascending">
      <items count="26">
        <item m="1" x="22"/>
        <item m="1" x="7"/>
        <item x="0"/>
        <item x="2"/>
        <item m="1" x="8"/>
        <item m="1" x="14"/>
        <item m="1" x="10"/>
        <item m="1" x="13"/>
        <item x="3"/>
        <item x="1"/>
        <item m="1" x="11"/>
        <item m="1" x="12"/>
        <item m="1" x="16"/>
        <item m="1" x="15"/>
        <item x="4"/>
        <item m="1" x="9"/>
        <item x="5"/>
        <item m="1" x="17"/>
        <item m="1" x="18"/>
        <item m="1" x="19"/>
        <item m="1" x="20"/>
        <item m="1" x="23"/>
        <item m="1" x="24"/>
        <item m="1" x="21"/>
        <item m="1" x="6"/>
        <item t="default"/>
      </items>
    </pivotField>
    <pivotField showAll="0"/>
    <pivotField showAll="0"/>
    <pivotField showAll="0"/>
    <pivotField showAll="0"/>
    <pivotField dataField="1" showAll="0"/>
    <pivotField showAll="0"/>
    <pivotField axis="axisRow" showAll="0">
      <items count="11">
        <item x="0"/>
        <item x="3"/>
        <item m="1" x="6"/>
        <item m="1" x="8"/>
        <item m="1" x="9"/>
        <item m="1" x="5"/>
        <item m="1" x="7"/>
        <item x="2"/>
        <item x="1"/>
        <item x="4"/>
        <item t="default"/>
      </items>
    </pivotField>
    <pivotField showAll="0"/>
  </pivotFields>
  <rowFields count="1">
    <field x="9"/>
  </rowFields>
  <rowItems count="6">
    <i>
      <x/>
    </i>
    <i>
      <x v="1"/>
    </i>
    <i>
      <x v="7"/>
    </i>
    <i>
      <x v="8"/>
    </i>
    <i>
      <x v="9"/>
    </i>
    <i t="grand">
      <x/>
    </i>
  </rowItems>
  <colItems count="1">
    <i/>
  </colItems>
  <dataFields count="1">
    <dataField name="Sum of T-loss Time(Hrs)" fld="7" baseField="0" baseItem="0"/>
  </dataFields>
  <formats count="12">
    <format dxfId="59">
      <pivotArea type="all" dataOnly="0" outline="0" fieldPosition="0"/>
    </format>
    <format dxfId="58">
      <pivotArea outline="0" collapsedLevelsAreSubtotals="1" fieldPosition="0"/>
    </format>
    <format dxfId="57">
      <pivotArea field="9" type="button" dataOnly="0" labelOnly="1" outline="0" axis="axisRow" fieldPosition="0"/>
    </format>
    <format dxfId="56">
      <pivotArea dataOnly="0" labelOnly="1" fieldPosition="0">
        <references count="1">
          <reference field="9" count="5">
            <x v="0"/>
            <x v="1"/>
            <x v="2"/>
            <x v="3"/>
            <x v="6"/>
          </reference>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9" type="button" dataOnly="0" labelOnly="1" outline="0" axis="axisRow" fieldPosition="0"/>
    </format>
    <format dxfId="50">
      <pivotArea dataOnly="0" labelOnly="1" fieldPosition="0">
        <references count="1">
          <reference field="9" count="5">
            <x v="0"/>
            <x v="1"/>
            <x v="2"/>
            <x v="3"/>
            <x v="6"/>
          </reference>
        </references>
      </pivotArea>
    </format>
    <format dxfId="49">
      <pivotArea dataOnly="0" labelOnly="1" grandRow="1" outline="0" fieldPosition="0"/>
    </format>
    <format dxfId="48">
      <pivotArea dataOnly="0" labelOnly="1" outline="0" axis="axisValues" fieldPosition="0"/>
    </format>
  </formats>
  <chartFormats count="20">
    <chartFormat chart="26" format="13"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6" format="14">
      <pivotArea type="data" outline="0" fieldPosition="0">
        <references count="2">
          <reference field="4294967294" count="1" selected="0">
            <x v="0"/>
          </reference>
          <reference field="9" count="1" selected="0">
            <x v="0"/>
          </reference>
        </references>
      </pivotArea>
    </chartFormat>
    <chartFormat chart="23" format="2">
      <pivotArea type="data" outline="0" fieldPosition="0">
        <references count="2">
          <reference field="4294967294" count="1" selected="0">
            <x v="0"/>
          </reference>
          <reference field="9" count="1" selected="0">
            <x v="0"/>
          </reference>
        </references>
      </pivotArea>
    </chartFormat>
    <chartFormat chart="26" format="15">
      <pivotArea type="data" outline="0" fieldPosition="0">
        <references count="2">
          <reference field="4294967294" count="1" selected="0">
            <x v="0"/>
          </reference>
          <reference field="9" count="1" selected="0">
            <x v="1"/>
          </reference>
        </references>
      </pivotArea>
    </chartFormat>
    <chartFormat chart="26" format="16">
      <pivotArea type="data" outline="0" fieldPosition="0">
        <references count="2">
          <reference field="4294967294" count="1" selected="0">
            <x v="0"/>
          </reference>
          <reference field="9" count="1" selected="0">
            <x v="2"/>
          </reference>
        </references>
      </pivotArea>
    </chartFormat>
    <chartFormat chart="26" format="17">
      <pivotArea type="data" outline="0" fieldPosition="0">
        <references count="2">
          <reference field="4294967294" count="1" selected="0">
            <x v="0"/>
          </reference>
          <reference field="9" count="1" selected="0">
            <x v="3"/>
          </reference>
        </references>
      </pivotArea>
    </chartFormat>
    <chartFormat chart="26" format="18">
      <pivotArea type="data" outline="0" fieldPosition="0">
        <references count="2">
          <reference field="4294967294" count="1" selected="0">
            <x v="0"/>
          </reference>
          <reference field="9" count="1" selected="0">
            <x v="5"/>
          </reference>
        </references>
      </pivotArea>
    </chartFormat>
    <chartFormat chart="26" format="19">
      <pivotArea type="data" outline="0" fieldPosition="0">
        <references count="2">
          <reference field="4294967294" count="1" selected="0">
            <x v="0"/>
          </reference>
          <reference field="9" count="1" selected="0">
            <x v="6"/>
          </reference>
        </references>
      </pivotArea>
    </chartFormat>
    <chartFormat chart="23" format="3">
      <pivotArea type="data" outline="0" fieldPosition="0">
        <references count="2">
          <reference field="4294967294" count="1" selected="0">
            <x v="0"/>
          </reference>
          <reference field="9" count="1" selected="0">
            <x v="1"/>
          </reference>
        </references>
      </pivotArea>
    </chartFormat>
    <chartFormat chart="23" format="4">
      <pivotArea type="data" outline="0" fieldPosition="0">
        <references count="2">
          <reference field="4294967294" count="1" selected="0">
            <x v="0"/>
          </reference>
          <reference field="9" count="1" selected="0">
            <x v="2"/>
          </reference>
        </references>
      </pivotArea>
    </chartFormat>
    <chartFormat chart="23" format="5">
      <pivotArea type="data" outline="0" fieldPosition="0">
        <references count="2">
          <reference field="4294967294" count="1" selected="0">
            <x v="0"/>
          </reference>
          <reference field="9" count="1" selected="0">
            <x v="3"/>
          </reference>
        </references>
      </pivotArea>
    </chartFormat>
    <chartFormat chart="23" format="6">
      <pivotArea type="data" outline="0" fieldPosition="0">
        <references count="2">
          <reference field="4294967294" count="1" selected="0">
            <x v="0"/>
          </reference>
          <reference field="9" count="1" selected="0">
            <x v="6"/>
          </reference>
        </references>
      </pivotArea>
    </chartFormat>
    <chartFormat chart="26" format="20">
      <pivotArea type="data" outline="0" fieldPosition="0">
        <references count="2">
          <reference field="4294967294" count="1" selected="0">
            <x v="0"/>
          </reference>
          <reference field="9" count="1" selected="0">
            <x v="7"/>
          </reference>
        </references>
      </pivotArea>
    </chartFormat>
    <chartFormat chart="23" format="7">
      <pivotArea type="data" outline="0" fieldPosition="0">
        <references count="2">
          <reference field="4294967294" count="1" selected="0">
            <x v="0"/>
          </reference>
          <reference field="9" count="1" selected="0">
            <x v="7"/>
          </reference>
        </references>
      </pivotArea>
    </chartFormat>
    <chartFormat chart="23" format="8">
      <pivotArea type="data" outline="0" fieldPosition="0">
        <references count="2">
          <reference field="4294967294" count="1" selected="0">
            <x v="0"/>
          </reference>
          <reference field="9" count="1" selected="0">
            <x v="5"/>
          </reference>
        </references>
      </pivotArea>
    </chartFormat>
    <chartFormat chart="23" format="9">
      <pivotArea type="data" outline="0" fieldPosition="0">
        <references count="1">
          <reference field="4294967294" count="1" selected="0">
            <x v="0"/>
          </reference>
        </references>
      </pivotArea>
    </chartFormat>
    <chartFormat chart="26" format="21">
      <pivotArea type="data" outline="0" fieldPosition="0">
        <references count="1">
          <reference field="4294967294" count="1" selected="0">
            <x v="0"/>
          </reference>
        </references>
      </pivotArea>
    </chartFormat>
    <chartFormat chart="26" format="22">
      <pivotArea type="data" outline="0" fieldPosition="0">
        <references count="2">
          <reference field="4294967294" count="1" selected="0">
            <x v="0"/>
          </reference>
          <reference field="9" count="1" selected="0">
            <x v="8"/>
          </reference>
        </references>
      </pivotArea>
    </chartFormat>
    <chartFormat chart="23" format="11">
      <pivotArea type="data" outline="0" fieldPosition="0">
        <references count="2">
          <reference field="4294967294" count="1" selected="0">
            <x v="0"/>
          </reference>
          <reference field="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FAFD08-8E00-4F08-90D3-9A1E3D7CE3DE}" name="PivotTable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0">
  <location ref="A3:B11" firstHeaderRow="1" firstDataRow="1" firstDataCol="1"/>
  <pivotFields count="11">
    <pivotField showAll="0"/>
    <pivotField axis="axisRow" showAll="0">
      <items count="45">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x="0"/>
        <item x="1"/>
        <item x="2"/>
        <item x="3"/>
        <item x="4"/>
        <item x="5"/>
        <item x="6"/>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8">
    <i>
      <x v="37"/>
    </i>
    <i>
      <x v="38"/>
    </i>
    <i>
      <x v="39"/>
    </i>
    <i>
      <x v="40"/>
    </i>
    <i>
      <x v="41"/>
    </i>
    <i>
      <x v="42"/>
    </i>
    <i>
      <x v="43"/>
    </i>
    <i t="grand">
      <x/>
    </i>
  </rowItems>
  <colItems count="1">
    <i/>
  </colItems>
  <dataFields count="1">
    <dataField name="Sum of Production Loss Qty" fld="8" baseField="0" baseItem="0"/>
  </dataFields>
  <formats count="5">
    <format dxfId="34">
      <pivotArea field="1" type="button" dataOnly="0" labelOnly="1" outline="0" axis="axisRow" fieldPosition="0"/>
    </format>
    <format dxfId="33">
      <pivotArea dataOnly="0" labelOnly="1" fieldPosition="0">
        <references count="1">
          <reference field="1" count="0"/>
        </references>
      </pivotArea>
    </format>
    <format dxfId="32">
      <pivotArea dataOnly="0" labelOnly="1" grandRow="1" outline="0" fieldPosition="0"/>
    </format>
    <format dxfId="31">
      <pivotArea collapsedLevelsAreSubtotals="1" fieldPosition="0">
        <references count="1">
          <reference field="1" count="0"/>
        </references>
      </pivotArea>
    </format>
    <format dxfId="30">
      <pivotArea collapsedLevelsAreSubtotals="1" fieldPosition="0">
        <references count="1">
          <reference field="1" count="1">
            <x v="14"/>
          </reference>
        </references>
      </pivotArea>
    </format>
  </formats>
  <chartFormats count="3">
    <chartFormat chart="5"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EA939D-B4E3-44BA-844B-CA7290910D39}" name="PivotTable1" cacheId="14"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chartFormat="54">
  <location ref="A3:B11" firstHeaderRow="1" firstDataRow="1" firstDataCol="1"/>
  <pivotFields count="11">
    <pivotField showAll="0"/>
    <pivotField axis="axisRow" showAll="0">
      <items count="45">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x="0"/>
        <item x="1"/>
        <item x="2"/>
        <item x="3"/>
        <item x="4"/>
        <item x="5"/>
        <item x="6"/>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8">
    <i>
      <x v="37"/>
    </i>
    <i>
      <x v="38"/>
    </i>
    <i>
      <x v="39"/>
    </i>
    <i>
      <x v="40"/>
    </i>
    <i>
      <x v="41"/>
    </i>
    <i>
      <x v="42"/>
    </i>
    <i>
      <x v="43"/>
    </i>
    <i t="grand">
      <x/>
    </i>
  </rowItems>
  <colItems count="1">
    <i/>
  </colItems>
  <dataFields count="1">
    <dataField name="Sum of T-loss Time(Hrs)" fld="7" baseField="0" baseItem="0"/>
  </dataFields>
  <chartFormats count="5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7">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 count="1" selected="0">
            <x v="5"/>
          </reference>
        </references>
      </pivotArea>
    </chartFormat>
    <chartFormat chart="0" format="8">
      <pivotArea type="data" outline="0" fieldPosition="0">
        <references count="2">
          <reference field="4294967294" count="1" selected="0">
            <x v="0"/>
          </reference>
          <reference field="1" count="1" selected="0">
            <x v="5"/>
          </reference>
        </references>
      </pivotArea>
    </chartFormat>
    <chartFormat chart="3" format="16">
      <pivotArea type="data" outline="0" fieldPosition="0">
        <references count="2">
          <reference field="4294967294" count="1" selected="0">
            <x v="0"/>
          </reference>
          <reference field="1" count="1" selected="0">
            <x v="6"/>
          </reference>
        </references>
      </pivotArea>
    </chartFormat>
    <chartFormat chart="0" format="9">
      <pivotArea type="data" outline="0" fieldPosition="0">
        <references count="2">
          <reference field="4294967294" count="1" selected="0">
            <x v="0"/>
          </reference>
          <reference field="1" count="1" selected="0">
            <x v="6"/>
          </reference>
        </references>
      </pivotArea>
    </chartFormat>
    <chartFormat chart="3" format="17">
      <pivotArea type="data" outline="0" fieldPosition="0">
        <references count="2">
          <reference field="4294967294" count="1" selected="0">
            <x v="0"/>
          </reference>
          <reference field="1" count="1" selected="0">
            <x v="7"/>
          </reference>
        </references>
      </pivotArea>
    </chartFormat>
    <chartFormat chart="0" format="10">
      <pivotArea type="data" outline="0" fieldPosition="0">
        <references count="2">
          <reference field="4294967294" count="1" selected="0">
            <x v="0"/>
          </reference>
          <reference field="1" count="1" selected="0">
            <x v="7"/>
          </reference>
        </references>
      </pivotArea>
    </chartFormat>
    <chartFormat chart="3" format="18">
      <pivotArea type="data" outline="0" fieldPosition="0">
        <references count="2">
          <reference field="4294967294" count="1" selected="0">
            <x v="0"/>
          </reference>
          <reference field="1" count="1" selected="0">
            <x v="8"/>
          </reference>
        </references>
      </pivotArea>
    </chartFormat>
    <chartFormat chart="0" format="11">
      <pivotArea type="data" outline="0" fieldPosition="0">
        <references count="2">
          <reference field="4294967294" count="1" selected="0">
            <x v="0"/>
          </reference>
          <reference field="1" count="1" selected="0">
            <x v="8"/>
          </reference>
        </references>
      </pivotArea>
    </chartFormat>
    <chartFormat chart="3" format="19">
      <pivotArea type="data" outline="0" fieldPosition="0">
        <references count="2">
          <reference field="4294967294" count="1" selected="0">
            <x v="0"/>
          </reference>
          <reference field="1" count="1" selected="0">
            <x v="9"/>
          </reference>
        </references>
      </pivotArea>
    </chartFormat>
    <chartFormat chart="0" format="12">
      <pivotArea type="data" outline="0" fieldPosition="0">
        <references count="2">
          <reference field="4294967294" count="1" selected="0">
            <x v="0"/>
          </reference>
          <reference field="1" count="1" selected="0">
            <x v="9"/>
          </reference>
        </references>
      </pivotArea>
    </chartFormat>
    <chartFormat chart="3" format="20">
      <pivotArea type="data" outline="0" fieldPosition="0">
        <references count="2">
          <reference field="4294967294" count="1" selected="0">
            <x v="0"/>
          </reference>
          <reference field="1" count="1" selected="0">
            <x v="10"/>
          </reference>
        </references>
      </pivotArea>
    </chartFormat>
    <chartFormat chart="0" format="13">
      <pivotArea type="data" outline="0" fieldPosition="0">
        <references count="2">
          <reference field="4294967294" count="1" selected="0">
            <x v="0"/>
          </reference>
          <reference field="1" count="1" selected="0">
            <x v="10"/>
          </reference>
        </references>
      </pivotArea>
    </chartFormat>
    <chartFormat chart="3" format="21">
      <pivotArea type="data" outline="0" fieldPosition="0">
        <references count="2">
          <reference field="4294967294" count="1" selected="0">
            <x v="0"/>
          </reference>
          <reference field="1" count="1" selected="0">
            <x v="11"/>
          </reference>
        </references>
      </pivotArea>
    </chartFormat>
    <chartFormat chart="0" format="14">
      <pivotArea type="data" outline="0" fieldPosition="0">
        <references count="2">
          <reference field="4294967294" count="1" selected="0">
            <x v="0"/>
          </reference>
          <reference field="1" count="1" selected="0">
            <x v="11"/>
          </reference>
        </references>
      </pivotArea>
    </chartFormat>
    <chartFormat chart="0" format="15">
      <pivotArea type="data" outline="0" fieldPosition="0">
        <references count="2">
          <reference field="4294967294" count="1" selected="0">
            <x v="0"/>
          </reference>
          <reference field="1" count="1" selected="0">
            <x v="12"/>
          </reference>
        </references>
      </pivotArea>
    </chartFormat>
    <chartFormat chart="0" format="16">
      <pivotArea type="data" outline="0" fieldPosition="0">
        <references count="2">
          <reference field="4294967294" count="1" selected="0">
            <x v="0"/>
          </reference>
          <reference field="1" count="1" selected="0">
            <x v="13"/>
          </reference>
        </references>
      </pivotArea>
    </chartFormat>
    <chartFormat chart="0" format="17">
      <pivotArea type="data" outline="0" fieldPosition="0">
        <references count="2">
          <reference field="4294967294" count="1" selected="0">
            <x v="0"/>
          </reference>
          <reference field="1" count="1" selected="0">
            <x v="14"/>
          </reference>
        </references>
      </pivotArea>
    </chartFormat>
    <chartFormat chart="0" format="18">
      <pivotArea type="data" outline="0" fieldPosition="0">
        <references count="2">
          <reference field="4294967294" count="1" selected="0">
            <x v="0"/>
          </reference>
          <reference field="1" count="1" selected="0">
            <x v="15"/>
          </reference>
        </references>
      </pivotArea>
    </chartFormat>
    <chartFormat chart="0" format="19">
      <pivotArea type="data" outline="0" fieldPosition="0">
        <references count="2">
          <reference field="4294967294" count="1" selected="0">
            <x v="0"/>
          </reference>
          <reference field="1" count="1" selected="0">
            <x v="16"/>
          </reference>
        </references>
      </pivotArea>
    </chartFormat>
    <chartFormat chart="0" format="20">
      <pivotArea type="data" outline="0" fieldPosition="0">
        <references count="2">
          <reference field="4294967294" count="1" selected="0">
            <x v="0"/>
          </reference>
          <reference field="1" count="1" selected="0">
            <x v="17"/>
          </reference>
        </references>
      </pivotArea>
    </chartFormat>
    <chartFormat chart="0" format="21">
      <pivotArea type="data" outline="0" fieldPosition="0">
        <references count="2">
          <reference field="4294967294" count="1" selected="0">
            <x v="0"/>
          </reference>
          <reference field="1" count="1" selected="0">
            <x v="18"/>
          </reference>
        </references>
      </pivotArea>
    </chartFormat>
    <chartFormat chart="0" format="22">
      <pivotArea type="data" outline="0" fieldPosition="0">
        <references count="2">
          <reference field="4294967294" count="1" selected="0">
            <x v="0"/>
          </reference>
          <reference field="1" count="1" selected="0">
            <x v="19"/>
          </reference>
        </references>
      </pivotArea>
    </chartFormat>
    <chartFormat chart="44" format="22" series="1">
      <pivotArea type="data" outline="0" fieldPosition="0">
        <references count="1">
          <reference field="4294967294" count="1" selected="0">
            <x v="0"/>
          </reference>
        </references>
      </pivotArea>
    </chartFormat>
    <chartFormat chart="0" format="23">
      <pivotArea type="data" outline="0" fieldPosition="0">
        <references count="2">
          <reference field="4294967294" count="1" selected="0">
            <x v="0"/>
          </reference>
          <reference field="1" count="1" selected="0">
            <x v="20"/>
          </reference>
        </references>
      </pivotArea>
    </chartFormat>
    <chartFormat chart="0" format="24">
      <pivotArea type="data" outline="0" fieldPosition="0">
        <references count="2">
          <reference field="4294967294" count="1" selected="0">
            <x v="0"/>
          </reference>
          <reference field="1" count="1" selected="0">
            <x v="21"/>
          </reference>
        </references>
      </pivotArea>
    </chartFormat>
    <chartFormat chart="0" format="25">
      <pivotArea type="data" outline="0" fieldPosition="0">
        <references count="2">
          <reference field="4294967294" count="1" selected="0">
            <x v="0"/>
          </reference>
          <reference field="1" count="1" selected="0">
            <x v="22"/>
          </reference>
        </references>
      </pivotArea>
    </chartFormat>
    <chartFormat chart="0" format="26">
      <pivotArea type="data" outline="0" fieldPosition="0">
        <references count="2">
          <reference field="4294967294" count="1" selected="0">
            <x v="0"/>
          </reference>
          <reference field="1" count="1" selected="0">
            <x v="23"/>
          </reference>
        </references>
      </pivotArea>
    </chartFormat>
    <chartFormat chart="0" format="27">
      <pivotArea type="data" outline="0" fieldPosition="0">
        <references count="2">
          <reference field="4294967294" count="1" selected="0">
            <x v="0"/>
          </reference>
          <reference field="1" count="1" selected="0">
            <x v="24"/>
          </reference>
        </references>
      </pivotArea>
    </chartFormat>
    <chartFormat chart="0" format="28">
      <pivotArea type="data" outline="0" fieldPosition="0">
        <references count="2">
          <reference field="4294967294" count="1" selected="0">
            <x v="0"/>
          </reference>
          <reference field="1" count="1" selected="0">
            <x v="25"/>
          </reference>
        </references>
      </pivotArea>
    </chartFormat>
    <chartFormat chart="0" format="29">
      <pivotArea type="data" outline="0" fieldPosition="0">
        <references count="2">
          <reference field="4294967294" count="1" selected="0">
            <x v="0"/>
          </reference>
          <reference field="1" count="1" selected="0">
            <x v="26"/>
          </reference>
        </references>
      </pivotArea>
    </chartFormat>
    <chartFormat chart="0" format="30">
      <pivotArea type="data" outline="0" fieldPosition="0">
        <references count="2">
          <reference field="4294967294" count="1" selected="0">
            <x v="0"/>
          </reference>
          <reference field="1" count="1" selected="0">
            <x v="27"/>
          </reference>
        </references>
      </pivotArea>
    </chartFormat>
    <chartFormat chart="0" format="31">
      <pivotArea type="data" outline="0" fieldPosition="0">
        <references count="2">
          <reference field="4294967294" count="1" selected="0">
            <x v="0"/>
          </reference>
          <reference field="1" count="1" selected="0">
            <x v="28"/>
          </reference>
        </references>
      </pivotArea>
    </chartFormat>
    <chartFormat chart="0" format="32">
      <pivotArea type="data" outline="0" fieldPosition="0">
        <references count="2">
          <reference field="4294967294" count="1" selected="0">
            <x v="0"/>
          </reference>
          <reference field="1" count="1" selected="0">
            <x v="29"/>
          </reference>
        </references>
      </pivotArea>
    </chartFormat>
    <chartFormat chart="0" format="33">
      <pivotArea type="data" outline="0" fieldPosition="0">
        <references count="2">
          <reference field="4294967294" count="1" selected="0">
            <x v="0"/>
          </reference>
          <reference field="1" count="1" selected="0">
            <x v="30"/>
          </reference>
        </references>
      </pivotArea>
    </chartFormat>
    <chartFormat chart="0" format="34">
      <pivotArea type="data" outline="0" fieldPosition="0">
        <references count="2">
          <reference field="4294967294" count="1" selected="0">
            <x v="0"/>
          </reference>
          <reference field="1" count="1" selected="0">
            <x v="31"/>
          </reference>
        </references>
      </pivotArea>
    </chartFormat>
    <chartFormat chart="0" format="35">
      <pivotArea type="data" outline="0" fieldPosition="0">
        <references count="2">
          <reference field="4294967294" count="1" selected="0">
            <x v="0"/>
          </reference>
          <reference field="1" count="1" selected="0">
            <x v="32"/>
          </reference>
        </references>
      </pivotArea>
    </chartFormat>
    <chartFormat chart="0" format="36">
      <pivotArea type="data" outline="0" fieldPosition="0">
        <references count="2">
          <reference field="4294967294" count="1" selected="0">
            <x v="0"/>
          </reference>
          <reference field="1" count="1" selected="0">
            <x v="33"/>
          </reference>
        </references>
      </pivotArea>
    </chartFormat>
    <chartFormat chart="0" format="37">
      <pivotArea type="data" outline="0" fieldPosition="0">
        <references count="2">
          <reference field="4294967294" count="1" selected="0">
            <x v="0"/>
          </reference>
          <reference field="1" count="1" selected="0">
            <x v="34"/>
          </reference>
        </references>
      </pivotArea>
    </chartFormat>
    <chartFormat chart="0" format="38">
      <pivotArea type="data" outline="0" fieldPosition="0">
        <references count="2">
          <reference field="4294967294" count="1" selected="0">
            <x v="0"/>
          </reference>
          <reference field="1" count="1" selected="0">
            <x v="35"/>
          </reference>
        </references>
      </pivotArea>
    </chartFormat>
    <chartFormat chart="0" format="39">
      <pivotArea type="data" outline="0" fieldPosition="0">
        <references count="2">
          <reference field="4294967294" count="1" selected="0">
            <x v="0"/>
          </reference>
          <reference field="1" count="1" selected="0">
            <x v="3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 xr10:uid="{1BA67631-6804-4730-8573-2DC2019CC3D0}" sourceName="Machine">
  <pivotTables>
    <pivotTable tabId="7" name="PivotTable1"/>
    <pivotTable tabId="7" name="PivotTable2"/>
  </pivotTables>
  <data>
    <tabular pivotCacheId="275338247">
      <items count="25">
        <i x="0" s="1"/>
        <i x="2" s="1"/>
        <i x="3" s="1"/>
        <i x="1" s="1"/>
        <i x="4" s="1"/>
        <i x="5" s="1"/>
        <i x="22" s="1" nd="1"/>
        <i x="7" s="1" nd="1"/>
        <i x="8" s="1" nd="1"/>
        <i x="14" s="1" nd="1"/>
        <i x="10" s="1" nd="1"/>
        <i x="13" s="1" nd="1"/>
        <i x="11" s="1" nd="1"/>
        <i x="12" s="1" nd="1"/>
        <i x="16" s="1" nd="1"/>
        <i x="15" s="1" nd="1"/>
        <i x="9" s="1" nd="1"/>
        <i x="17" s="1" nd="1"/>
        <i x="18" s="1" nd="1"/>
        <i x="19" s="1" nd="1"/>
        <i x="20" s="1" nd="1"/>
        <i x="23" s="1" nd="1"/>
        <i x="24" s="1" nd="1"/>
        <i x="21" s="1" nd="1"/>
        <i x="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48FC171-1210-4062-9E40-9743B00C06FD}" sourceName="Date">
  <pivotTables>
    <pivotTable tabId="7" name="PivotTable1"/>
    <pivotTable tabId="8" name="PivotTable1"/>
    <pivotTable tabId="6" name="PivotTable1"/>
    <pivotTable tabId="7" name="PivotTable2"/>
  </pivotTables>
  <data>
    <tabular pivotCacheId="275338247">
      <items count="44">
        <i x="0" s="1"/>
        <i x="1" s="1"/>
        <i x="2" s="1"/>
        <i x="3" s="1"/>
        <i x="4" s="1"/>
        <i x="5" s="1"/>
        <i x="6" s="1"/>
        <i x="7" s="1" nd="1"/>
        <i x="8"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ne" xr10:uid="{D347C002-D09B-4FCA-B531-9EC202E77B01}" cache="Slicer_Machine" caption="Machine" style="SlicerStyleDark2" rowHeight="241300"/>
  <slicer name=" " xr10:uid="{8908042F-4BE8-4E31-859A-7FE57BDA91BE}" cache="Slicer_Date" caption="Date" startItem="12"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F834D6-4C32-4193-BCAF-62F3E4340493}" name="Table2" displayName="Table2" ref="A1:K14" totalsRowShown="0" headerRowDxfId="74" headerRowBorderDxfId="73" tableBorderDxfId="72" totalsRowBorderDxfId="71">
  <autoFilter ref="A1:K14" xr:uid="{F6F834D6-4C32-4193-BCAF-62F3E4340493}"/>
  <tableColumns count="11">
    <tableColumn id="1" xr3:uid="{71BC6439-2D24-440C-A8F6-09E254838CD1}" name="S.No" dataDxfId="70"/>
    <tableColumn id="2" xr3:uid="{461A4FFC-9851-490E-B58B-5883CEEE5727}" name="Date" dataDxfId="69"/>
    <tableColumn id="3" xr3:uid="{0B9DC3FF-2DD5-49BE-9B9C-2B444C4813E2}" name="Machine" dataDxfId="68"/>
    <tableColumn id="4" xr3:uid="{BF770DEE-5C5D-4BC4-A10B-CC5A8FCB9DF5}" name="Poblem" dataDxfId="67"/>
    <tableColumn id="5" xr3:uid="{BCCA3E9C-C58D-4B65-876A-16F812BCBC2C}" name="Solution" dataDxfId="66"/>
    <tableColumn id="6" xr3:uid="{C3B729F9-5CAC-4F86-AB54-78B0DBA61176}" name="Stop Time" dataDxfId="65"/>
    <tableColumn id="7" xr3:uid="{341A60A2-2748-4FAF-A9A0-4B03E8066440}" name="Start Time" dataDxfId="64"/>
    <tableColumn id="8" xr3:uid="{58F34676-F9CE-4435-9069-B8DC5A400FDB}" name="T-loss Time(Hrs)" dataDxfId="63"/>
    <tableColumn id="9" xr3:uid="{7C5F06D4-A077-4B9E-A64E-C327CDB37ACA}" name="Production Loss Qty" dataDxfId="62"/>
    <tableColumn id="10" xr3:uid="{CBC8D306-40D5-4AB8-92D9-DC5F66D40339}" name="SBU" dataDxfId="61"/>
    <tableColumn id="11" xr3:uid="{2D8B3AB9-62AC-4592-AA8F-A8818173374E}" name="Remarks"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6A8CC08-2C87-4BC3-8AA2-07B7DE4EAB56}" sourceName="Date">
  <pivotTables>
    <pivotTable tabId="7" name="PivotTable1"/>
    <pivotTable tabId="8" name="PivotTable1"/>
    <pivotTable tabId="6" name="PivotTable1"/>
    <pivotTable tabId="7" name="PivotTable2"/>
  </pivotTables>
  <state minimalRefreshVersion="6" lastRefreshVersion="6" pivotCacheId="27533824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075289A-5A7A-47BE-9501-B333E8D34651}" cache="NativeTimeline_Date" caption="Date" level="2" selectionLevel="2" scrollPosition="2025-07-31T00:00:00" style="TimeSlicerStyleLight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05F67-60D5-4822-9C6F-021175F8A4C9}">
  <sheetPr codeName="Sheet2">
    <tabColor rgb="FF002060"/>
    <pageSetUpPr fitToPage="1"/>
  </sheetPr>
  <dimension ref="C4:AT35"/>
  <sheetViews>
    <sheetView tabSelected="1" zoomScale="55" zoomScaleNormal="55" workbookViewId="0">
      <selection activeCell="AN15" sqref="AN15"/>
    </sheetView>
  </sheetViews>
  <sheetFormatPr defaultRowHeight="15" x14ac:dyDescent="0.25"/>
  <cols>
    <col min="1" max="1" width="9.140625" style="11"/>
    <col min="2" max="2" width="8.140625" style="11" customWidth="1"/>
    <col min="3" max="22" width="9.140625" style="11"/>
    <col min="23" max="23" width="10.7109375" style="11" customWidth="1"/>
    <col min="24" max="16384" width="9.140625" style="11"/>
  </cols>
  <sheetData>
    <row r="4" spans="3:3" x14ac:dyDescent="0.25">
      <c r="C4" s="11" t="s">
        <v>14</v>
      </c>
    </row>
    <row r="19" spans="40:40" ht="12" customHeight="1" x14ac:dyDescent="0.25"/>
    <row r="27" spans="40:40" x14ac:dyDescent="0.25">
      <c r="AN27" s="11" t="s">
        <v>14</v>
      </c>
    </row>
    <row r="35" spans="46:46" x14ac:dyDescent="0.25">
      <c r="AT35" s="11" t="s">
        <v>14</v>
      </c>
    </row>
  </sheetData>
  <pageMargins left="0.7" right="0.7" top="0.75" bottom="0.75" header="0.3" footer="0.3"/>
  <pageSetup paperSize="8" scale="52"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14"/>
  <sheetViews>
    <sheetView zoomScale="115" zoomScaleNormal="115" workbookViewId="0">
      <selection activeCell="A12" sqref="A12:A14"/>
    </sheetView>
  </sheetViews>
  <sheetFormatPr defaultRowHeight="15" x14ac:dyDescent="0.25"/>
  <cols>
    <col min="1" max="1" width="7.28515625" style="1" customWidth="1"/>
    <col min="2" max="2" width="13" style="1" customWidth="1"/>
    <col min="3" max="3" width="12" style="1" customWidth="1"/>
    <col min="4" max="4" width="31.85546875" style="1" customWidth="1"/>
    <col min="5" max="5" width="28.28515625" style="1" bestFit="1" customWidth="1"/>
    <col min="6" max="6" width="18.28515625" style="4" customWidth="1"/>
    <col min="7" max="7" width="14.7109375" style="4" customWidth="1"/>
    <col min="8" max="8" width="20" style="4" bestFit="1" customWidth="1"/>
    <col min="9" max="9" width="22.7109375" style="1" customWidth="1"/>
    <col min="10" max="10" width="13.7109375" style="1" customWidth="1"/>
    <col min="11" max="11" width="22.5703125" style="1" hidden="1" customWidth="1"/>
    <col min="12" max="16384" width="9.140625" style="1"/>
  </cols>
  <sheetData>
    <row r="1" spans="1:11" s="18" customFormat="1" ht="15.75" x14ac:dyDescent="0.25">
      <c r="A1" s="14" t="s">
        <v>0</v>
      </c>
      <c r="B1" s="15" t="s">
        <v>10</v>
      </c>
      <c r="C1" s="15" t="s">
        <v>1</v>
      </c>
      <c r="D1" s="15" t="s">
        <v>2</v>
      </c>
      <c r="E1" s="15" t="s">
        <v>3</v>
      </c>
      <c r="F1" s="16" t="s">
        <v>4</v>
      </c>
      <c r="G1" s="16" t="s">
        <v>5</v>
      </c>
      <c r="H1" s="16" t="s">
        <v>12</v>
      </c>
      <c r="I1" s="15" t="s">
        <v>6</v>
      </c>
      <c r="J1" s="15" t="s">
        <v>7</v>
      </c>
      <c r="K1" s="17" t="s">
        <v>8</v>
      </c>
    </row>
    <row r="2" spans="1:11" x14ac:dyDescent="0.25">
      <c r="A2" s="5">
        <v>1</v>
      </c>
      <c r="B2" s="2">
        <v>45962</v>
      </c>
      <c r="C2" s="1" t="s">
        <v>19</v>
      </c>
      <c r="D2" s="1" t="s">
        <v>20</v>
      </c>
      <c r="E2" s="1" t="s">
        <v>21</v>
      </c>
      <c r="F2" s="4">
        <v>0.375</v>
      </c>
      <c r="G2" s="4">
        <v>0.45833333333333331</v>
      </c>
      <c r="H2" s="3">
        <f t="shared" ref="H2:H6" si="0">(G2-F2)*24</f>
        <v>1.9999999999999996</v>
      </c>
      <c r="I2" s="1">
        <v>800</v>
      </c>
      <c r="J2" s="1" t="s">
        <v>11</v>
      </c>
      <c r="K2" s="6"/>
    </row>
    <row r="3" spans="1:11" x14ac:dyDescent="0.25">
      <c r="A3" s="5">
        <v>2</v>
      </c>
      <c r="B3" s="2">
        <v>45962</v>
      </c>
      <c r="C3" s="1" t="s">
        <v>22</v>
      </c>
      <c r="D3" s="1" t="s">
        <v>20</v>
      </c>
      <c r="E3" s="1" t="s">
        <v>23</v>
      </c>
      <c r="F3" s="4">
        <v>0.33333333333333331</v>
      </c>
      <c r="G3" s="4">
        <v>0.45833333333333331</v>
      </c>
      <c r="H3" s="3">
        <f t="shared" si="0"/>
        <v>3</v>
      </c>
      <c r="I3" s="1">
        <v>1500</v>
      </c>
      <c r="J3" s="1" t="s">
        <v>11</v>
      </c>
      <c r="K3" s="6" t="s">
        <v>13</v>
      </c>
    </row>
    <row r="4" spans="1:11" x14ac:dyDescent="0.25">
      <c r="A4" s="5">
        <v>3</v>
      </c>
      <c r="B4" s="2">
        <v>45964</v>
      </c>
      <c r="C4" s="1" t="s">
        <v>24</v>
      </c>
      <c r="D4" s="1" t="s">
        <v>25</v>
      </c>
      <c r="E4" s="1" t="s">
        <v>26</v>
      </c>
      <c r="F4" s="4">
        <v>0.375</v>
      </c>
      <c r="G4" s="4">
        <v>0.41666666666666669</v>
      </c>
      <c r="H4" s="3">
        <f t="shared" si="0"/>
        <v>1.0000000000000004</v>
      </c>
      <c r="I4" s="1">
        <v>400</v>
      </c>
      <c r="J4" s="1" t="s">
        <v>30</v>
      </c>
      <c r="K4" s="6"/>
    </row>
    <row r="5" spans="1:11" x14ac:dyDescent="0.25">
      <c r="A5" s="5">
        <v>4</v>
      </c>
      <c r="B5" s="2">
        <v>45964</v>
      </c>
      <c r="C5" s="1" t="s">
        <v>27</v>
      </c>
      <c r="D5" s="1" t="s">
        <v>28</v>
      </c>
      <c r="E5" s="1" t="s">
        <v>29</v>
      </c>
      <c r="F5" s="4">
        <v>0.58333333333333337</v>
      </c>
      <c r="G5" s="4">
        <v>0.60416666666666663</v>
      </c>
      <c r="H5" s="3">
        <f t="shared" si="0"/>
        <v>0.49999999999999822</v>
      </c>
      <c r="I5" s="1">
        <v>250</v>
      </c>
      <c r="J5" s="1" t="s">
        <v>11</v>
      </c>
      <c r="K5" s="6"/>
    </row>
    <row r="6" spans="1:11" x14ac:dyDescent="0.25">
      <c r="A6" s="5">
        <v>5</v>
      </c>
      <c r="B6" s="2">
        <v>45964</v>
      </c>
      <c r="C6" s="1" t="s">
        <v>22</v>
      </c>
      <c r="D6" s="1" t="s">
        <v>28</v>
      </c>
      <c r="E6" s="1" t="s">
        <v>29</v>
      </c>
      <c r="F6" s="4">
        <v>0.33333333333333331</v>
      </c>
      <c r="G6" s="4">
        <v>0.375</v>
      </c>
      <c r="H6" s="3">
        <f t="shared" si="0"/>
        <v>1.0000000000000004</v>
      </c>
      <c r="I6" s="1">
        <v>200</v>
      </c>
      <c r="J6" s="1" t="s">
        <v>11</v>
      </c>
      <c r="K6" s="6"/>
    </row>
    <row r="7" spans="1:11" x14ac:dyDescent="0.25">
      <c r="A7" s="5">
        <v>6</v>
      </c>
      <c r="B7" s="2">
        <v>45965</v>
      </c>
      <c r="C7" s="1" t="s">
        <v>19</v>
      </c>
      <c r="D7" s="1" t="s">
        <v>31</v>
      </c>
      <c r="E7" s="1" t="s">
        <v>32</v>
      </c>
      <c r="F7" s="4">
        <v>0.5</v>
      </c>
      <c r="G7" s="4">
        <v>0.70833333333333337</v>
      </c>
      <c r="H7" s="3">
        <f>(G7-F7)*24-1</f>
        <v>4.0000000000000009</v>
      </c>
      <c r="I7" s="1">
        <v>1600</v>
      </c>
      <c r="J7" s="1" t="s">
        <v>33</v>
      </c>
      <c r="K7" s="6"/>
    </row>
    <row r="8" spans="1:11" x14ac:dyDescent="0.25">
      <c r="A8" s="5">
        <v>7</v>
      </c>
      <c r="B8" s="2">
        <v>45965</v>
      </c>
      <c r="C8" s="1" t="s">
        <v>27</v>
      </c>
      <c r="D8" s="1" t="s">
        <v>28</v>
      </c>
      <c r="E8" s="1" t="s">
        <v>29</v>
      </c>
      <c r="F8" s="4">
        <v>0.47916666666666669</v>
      </c>
      <c r="G8" s="4">
        <v>0.5</v>
      </c>
      <c r="H8" s="3">
        <f>(G8-F8)*24</f>
        <v>0.49999999999999956</v>
      </c>
      <c r="I8" s="1">
        <v>200</v>
      </c>
      <c r="J8" s="1" t="s">
        <v>11</v>
      </c>
      <c r="K8" s="6"/>
    </row>
    <row r="9" spans="1:11" x14ac:dyDescent="0.25">
      <c r="A9" s="5">
        <v>8</v>
      </c>
      <c r="B9" s="2">
        <v>45968</v>
      </c>
      <c r="C9" s="1" t="s">
        <v>24</v>
      </c>
      <c r="D9" s="1" t="s">
        <v>34</v>
      </c>
      <c r="E9" s="1" t="s">
        <v>35</v>
      </c>
      <c r="F9" s="4">
        <v>0.6875</v>
      </c>
      <c r="G9" s="4">
        <v>0.70833333333333337</v>
      </c>
      <c r="H9" s="3">
        <f>(G9-F9)*24</f>
        <v>0.50000000000000089</v>
      </c>
      <c r="I9" s="1">
        <v>100</v>
      </c>
      <c r="J9" s="1" t="s">
        <v>11</v>
      </c>
      <c r="K9" s="6"/>
    </row>
    <row r="10" spans="1:11" x14ac:dyDescent="0.25">
      <c r="A10" s="5">
        <v>9</v>
      </c>
      <c r="B10" s="2">
        <v>45973</v>
      </c>
      <c r="C10" s="1" t="s">
        <v>24</v>
      </c>
      <c r="D10" s="1" t="s">
        <v>36</v>
      </c>
      <c r="E10" s="1" t="s">
        <v>37</v>
      </c>
      <c r="F10" s="4">
        <v>0.375</v>
      </c>
      <c r="G10" s="4">
        <v>0.41666666666666669</v>
      </c>
      <c r="H10" s="3">
        <f>(G10-F10)*24</f>
        <v>1.0000000000000004</v>
      </c>
      <c r="I10" s="1">
        <v>225</v>
      </c>
      <c r="J10" s="1" t="s">
        <v>41</v>
      </c>
      <c r="K10" s="6"/>
    </row>
    <row r="11" spans="1:11" x14ac:dyDescent="0.25">
      <c r="A11" s="5">
        <v>10</v>
      </c>
      <c r="B11" s="2">
        <v>45973</v>
      </c>
      <c r="C11" s="1" t="s">
        <v>38</v>
      </c>
      <c r="D11" s="1" t="s">
        <v>39</v>
      </c>
      <c r="E11" s="1" t="s">
        <v>40</v>
      </c>
      <c r="F11" s="4">
        <v>0.45833333333333331</v>
      </c>
      <c r="G11" s="4">
        <v>0.47916666666666669</v>
      </c>
      <c r="H11" s="3">
        <f>(G11-F11)*24</f>
        <v>0.50000000000000089</v>
      </c>
      <c r="I11" s="1">
        <v>75</v>
      </c>
      <c r="J11" s="1" t="s">
        <v>41</v>
      </c>
      <c r="K11" s="6"/>
    </row>
    <row r="12" spans="1:11" x14ac:dyDescent="0.25">
      <c r="A12" s="5">
        <v>11</v>
      </c>
      <c r="B12" s="2">
        <v>45978</v>
      </c>
      <c r="C12" s="1" t="s">
        <v>42</v>
      </c>
      <c r="D12" s="1" t="s">
        <v>39</v>
      </c>
      <c r="E12" s="1" t="s">
        <v>40</v>
      </c>
      <c r="F12" s="4">
        <v>0.375</v>
      </c>
      <c r="G12" s="4">
        <v>0.41666666666666669</v>
      </c>
      <c r="H12" s="3">
        <f>(G12-F12)*24</f>
        <v>1.0000000000000004</v>
      </c>
      <c r="I12" s="1">
        <v>300</v>
      </c>
      <c r="J12" s="1" t="s">
        <v>41</v>
      </c>
      <c r="K12" s="6"/>
    </row>
    <row r="13" spans="1:11" x14ac:dyDescent="0.25">
      <c r="A13" s="5">
        <v>12</v>
      </c>
      <c r="B13" s="2">
        <v>45979</v>
      </c>
      <c r="C13" s="1" t="s">
        <v>24</v>
      </c>
      <c r="D13" s="1" t="s">
        <v>43</v>
      </c>
      <c r="E13" s="1" t="s">
        <v>44</v>
      </c>
      <c r="F13" s="4">
        <v>0.5</v>
      </c>
      <c r="G13" s="4">
        <v>0.54166666666666663</v>
      </c>
      <c r="H13" s="3">
        <f>(G13-F13)*24</f>
        <v>0.99999999999999911</v>
      </c>
      <c r="I13" s="1">
        <v>220</v>
      </c>
      <c r="J13" s="1" t="s">
        <v>33</v>
      </c>
      <c r="K13" s="6"/>
    </row>
    <row r="14" spans="1:11" x14ac:dyDescent="0.25">
      <c r="A14" s="5">
        <v>13</v>
      </c>
      <c r="B14" s="2">
        <v>45979</v>
      </c>
      <c r="C14" s="1" t="s">
        <v>42</v>
      </c>
      <c r="D14" s="1" t="s">
        <v>28</v>
      </c>
      <c r="E14" s="1" t="s">
        <v>45</v>
      </c>
      <c r="F14" s="4">
        <v>0.66666666666666663</v>
      </c>
      <c r="G14" s="4">
        <v>0.70833333333333337</v>
      </c>
      <c r="H14" s="3">
        <f>(G14-F14)*24</f>
        <v>1.0000000000000018</v>
      </c>
      <c r="I14" s="1">
        <v>300</v>
      </c>
      <c r="J14" s="1" t="s">
        <v>46</v>
      </c>
      <c r="K14" s="6"/>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972DA-819F-46E5-B4B3-C90C9BDC5981}">
  <sheetPr codeName="Sheet3"/>
  <dimension ref="A3:F25"/>
  <sheetViews>
    <sheetView topLeftCell="A10" workbookViewId="0">
      <selection activeCell="A36" sqref="A36"/>
    </sheetView>
  </sheetViews>
  <sheetFormatPr defaultRowHeight="15" x14ac:dyDescent="0.25"/>
  <cols>
    <col min="1" max="1" width="15.42578125" style="13" bestFit="1" customWidth="1"/>
    <col min="2" max="2" width="22.28515625" style="13" bestFit="1" customWidth="1"/>
    <col min="3" max="4" width="9.140625" style="13"/>
    <col min="5" max="5" width="11.28515625" style="13" bestFit="1" customWidth="1"/>
    <col min="6" max="6" width="22.28515625" style="13" bestFit="1" customWidth="1"/>
    <col min="7" max="16384" width="9.140625" style="13"/>
  </cols>
  <sheetData>
    <row r="3" spans="1:6" x14ac:dyDescent="0.25">
      <c r="A3" s="12" t="s">
        <v>15</v>
      </c>
      <c r="B3" s="13" t="s">
        <v>16</v>
      </c>
      <c r="E3" s="12" t="s">
        <v>18</v>
      </c>
      <c r="F3" s="13" t="s">
        <v>16</v>
      </c>
    </row>
    <row r="4" spans="1:6" x14ac:dyDescent="0.25">
      <c r="A4" s="13" t="s">
        <v>19</v>
      </c>
      <c r="B4" s="19">
        <v>6</v>
      </c>
      <c r="E4" s="13" t="s">
        <v>11</v>
      </c>
      <c r="F4" s="23">
        <v>7.4999999999999991</v>
      </c>
    </row>
    <row r="5" spans="1:6" x14ac:dyDescent="0.25">
      <c r="A5" s="13" t="s">
        <v>24</v>
      </c>
      <c r="B5" s="19">
        <v>3.5000000000000009</v>
      </c>
      <c r="E5" s="13" t="s">
        <v>41</v>
      </c>
      <c r="F5" s="23">
        <v>2.5000000000000018</v>
      </c>
    </row>
    <row r="6" spans="1:6" x14ac:dyDescent="0.25">
      <c r="A6" s="13" t="s">
        <v>27</v>
      </c>
      <c r="B6" s="19">
        <v>0.99999999999999778</v>
      </c>
      <c r="E6" s="13" t="s">
        <v>33</v>
      </c>
      <c r="F6" s="23">
        <v>5</v>
      </c>
    </row>
    <row r="7" spans="1:6" x14ac:dyDescent="0.25">
      <c r="A7" s="13" t="s">
        <v>22</v>
      </c>
      <c r="B7" s="19">
        <v>4</v>
      </c>
      <c r="E7" s="13" t="s">
        <v>30</v>
      </c>
      <c r="F7" s="23">
        <v>1.0000000000000004</v>
      </c>
    </row>
    <row r="8" spans="1:6" x14ac:dyDescent="0.25">
      <c r="A8" s="13" t="s">
        <v>38</v>
      </c>
      <c r="B8" s="19">
        <v>0.50000000000000089</v>
      </c>
      <c r="E8" s="13" t="s">
        <v>46</v>
      </c>
      <c r="F8" s="23">
        <v>1.0000000000000018</v>
      </c>
    </row>
    <row r="9" spans="1:6" x14ac:dyDescent="0.25">
      <c r="A9" s="13" t="s">
        <v>42</v>
      </c>
      <c r="B9" s="19">
        <v>2.0000000000000022</v>
      </c>
      <c r="E9" s="13" t="s">
        <v>9</v>
      </c>
      <c r="F9" s="23">
        <v>17</v>
      </c>
    </row>
    <row r="10" spans="1:6" x14ac:dyDescent="0.25">
      <c r="A10" s="13" t="s">
        <v>9</v>
      </c>
      <c r="B10" s="23">
        <v>17.000000000000004</v>
      </c>
      <c r="E10"/>
      <c r="F10"/>
    </row>
    <row r="11" spans="1:6" x14ac:dyDescent="0.25">
      <c r="A11"/>
      <c r="B11"/>
    </row>
    <row r="12" spans="1:6" x14ac:dyDescent="0.25">
      <c r="A12"/>
      <c r="B12"/>
    </row>
    <row r="13" spans="1:6" x14ac:dyDescent="0.25">
      <c r="A13"/>
      <c r="B13"/>
    </row>
    <row r="14" spans="1:6" x14ac:dyDescent="0.25">
      <c r="A14"/>
      <c r="B14"/>
    </row>
    <row r="15" spans="1:6" x14ac:dyDescent="0.25">
      <c r="A15"/>
      <c r="B15"/>
    </row>
    <row r="16" spans="1:6" x14ac:dyDescent="0.25">
      <c r="A16"/>
      <c r="B16"/>
    </row>
    <row r="17" spans="1:2" x14ac:dyDescent="0.25">
      <c r="A17"/>
      <c r="B17"/>
    </row>
    <row r="18" spans="1:2" x14ac:dyDescent="0.25">
      <c r="A18"/>
      <c r="B18"/>
    </row>
    <row r="19" spans="1:2" x14ac:dyDescent="0.25">
      <c r="A19"/>
      <c r="B19"/>
    </row>
    <row r="20" spans="1:2" x14ac:dyDescent="0.25">
      <c r="A20"/>
      <c r="B20"/>
    </row>
    <row r="21" spans="1:2" x14ac:dyDescent="0.25">
      <c r="A21"/>
      <c r="B21"/>
    </row>
    <row r="22" spans="1:2" x14ac:dyDescent="0.25">
      <c r="A22"/>
      <c r="B22"/>
    </row>
    <row r="23" spans="1:2" x14ac:dyDescent="0.25">
      <c r="A23"/>
      <c r="B23"/>
    </row>
    <row r="24" spans="1:2" x14ac:dyDescent="0.25">
      <c r="A24"/>
      <c r="B24"/>
    </row>
    <row r="25" spans="1:2" x14ac:dyDescent="0.25">
      <c r="A25"/>
      <c r="B25"/>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DEE81-EA18-4FB5-A49E-5F0B0C26C0AD}">
  <sheetPr codeName="Sheet4"/>
  <dimension ref="A3:B39"/>
  <sheetViews>
    <sheetView topLeftCell="A19" workbookViewId="0">
      <selection activeCell="E28" sqref="E28"/>
    </sheetView>
  </sheetViews>
  <sheetFormatPr defaultRowHeight="15" x14ac:dyDescent="0.25"/>
  <cols>
    <col min="1" max="1" width="13.140625" style="10" bestFit="1" customWidth="1"/>
    <col min="2" max="2" width="25.5703125" bestFit="1" customWidth="1"/>
  </cols>
  <sheetData>
    <row r="3" spans="1:2" x14ac:dyDescent="0.25">
      <c r="A3" s="8" t="s">
        <v>15</v>
      </c>
      <c r="B3" t="s">
        <v>17</v>
      </c>
    </row>
    <row r="4" spans="1:2" x14ac:dyDescent="0.25">
      <c r="A4" s="9">
        <v>45962</v>
      </c>
      <c r="B4" s="21">
        <v>2300</v>
      </c>
    </row>
    <row r="5" spans="1:2" x14ac:dyDescent="0.25">
      <c r="A5" s="9">
        <v>45964</v>
      </c>
      <c r="B5" s="21">
        <v>850</v>
      </c>
    </row>
    <row r="6" spans="1:2" x14ac:dyDescent="0.25">
      <c r="A6" s="9">
        <v>45965</v>
      </c>
      <c r="B6" s="21">
        <v>1800</v>
      </c>
    </row>
    <row r="7" spans="1:2" x14ac:dyDescent="0.25">
      <c r="A7" s="9">
        <v>45968</v>
      </c>
      <c r="B7" s="21">
        <v>100</v>
      </c>
    </row>
    <row r="8" spans="1:2" x14ac:dyDescent="0.25">
      <c r="A8" s="9">
        <v>45973</v>
      </c>
      <c r="B8" s="21">
        <v>300</v>
      </c>
    </row>
    <row r="9" spans="1:2" x14ac:dyDescent="0.25">
      <c r="A9" s="9">
        <v>45978</v>
      </c>
      <c r="B9" s="21">
        <v>300</v>
      </c>
    </row>
    <row r="10" spans="1:2" x14ac:dyDescent="0.25">
      <c r="A10" s="9">
        <v>45979</v>
      </c>
      <c r="B10" s="21">
        <v>520</v>
      </c>
    </row>
    <row r="11" spans="1:2" x14ac:dyDescent="0.25">
      <c r="A11" s="9" t="s">
        <v>9</v>
      </c>
      <c r="B11" s="22">
        <v>6170</v>
      </c>
    </row>
    <row r="12" spans="1:2" x14ac:dyDescent="0.25">
      <c r="A12"/>
    </row>
    <row r="13" spans="1:2" x14ac:dyDescent="0.25">
      <c r="A13"/>
    </row>
    <row r="14" spans="1:2" x14ac:dyDescent="0.25">
      <c r="A14"/>
    </row>
    <row r="15" spans="1:2" x14ac:dyDescent="0.25">
      <c r="A15"/>
    </row>
    <row r="16" spans="1:2" x14ac:dyDescent="0.25">
      <c r="A16"/>
    </row>
    <row r="17" spans="1:1" x14ac:dyDescent="0.25">
      <c r="A17"/>
    </row>
    <row r="18" spans="1:1" x14ac:dyDescent="0.25">
      <c r="A18"/>
    </row>
    <row r="19" spans="1:1" x14ac:dyDescent="0.25">
      <c r="A19"/>
    </row>
    <row r="20" spans="1:1" x14ac:dyDescent="0.25">
      <c r="A20"/>
    </row>
    <row r="21" spans="1:1" x14ac:dyDescent="0.25">
      <c r="A21"/>
    </row>
    <row r="22" spans="1:1" x14ac:dyDescent="0.25">
      <c r="A22"/>
    </row>
    <row r="23" spans="1:1" x14ac:dyDescent="0.25">
      <c r="A23"/>
    </row>
    <row r="24" spans="1:1" x14ac:dyDescent="0.25">
      <c r="A24"/>
    </row>
    <row r="25" spans="1:1" x14ac:dyDescent="0.25">
      <c r="A25"/>
    </row>
    <row r="26" spans="1:1" x14ac:dyDescent="0.25">
      <c r="A26"/>
    </row>
    <row r="27" spans="1:1" x14ac:dyDescent="0.25">
      <c r="A27"/>
    </row>
    <row r="28" spans="1:1" x14ac:dyDescent="0.25">
      <c r="A28"/>
    </row>
    <row r="29" spans="1:1" x14ac:dyDescent="0.25">
      <c r="A29"/>
    </row>
    <row r="30" spans="1:1" x14ac:dyDescent="0.25">
      <c r="A30"/>
    </row>
    <row r="31" spans="1:1" x14ac:dyDescent="0.25">
      <c r="A31"/>
    </row>
    <row r="32" spans="1:1"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27B35-A1F0-486F-B358-35BA8A82478B}">
  <sheetPr codeName="Sheet5"/>
  <dimension ref="A3:B11"/>
  <sheetViews>
    <sheetView workbookViewId="0">
      <selection activeCell="E28" sqref="E28"/>
    </sheetView>
  </sheetViews>
  <sheetFormatPr defaultRowHeight="15" x14ac:dyDescent="0.25"/>
  <cols>
    <col min="1" max="1" width="11.28515625" bestFit="1" customWidth="1"/>
    <col min="2" max="2" width="22.28515625" bestFit="1" customWidth="1"/>
  </cols>
  <sheetData>
    <row r="3" spans="1:2" x14ac:dyDescent="0.25">
      <c r="B3" t="s">
        <v>16</v>
      </c>
    </row>
    <row r="4" spans="1:2" x14ac:dyDescent="0.25">
      <c r="A4" s="20">
        <v>45962</v>
      </c>
      <c r="B4" s="22">
        <v>5</v>
      </c>
    </row>
    <row r="5" spans="1:2" x14ac:dyDescent="0.25">
      <c r="A5" s="20">
        <v>45964</v>
      </c>
      <c r="B5" s="22">
        <v>2.4999999999999991</v>
      </c>
    </row>
    <row r="6" spans="1:2" x14ac:dyDescent="0.25">
      <c r="A6" s="20">
        <v>45965</v>
      </c>
      <c r="B6" s="22">
        <v>4.5</v>
      </c>
    </row>
    <row r="7" spans="1:2" x14ac:dyDescent="0.25">
      <c r="A7" s="20">
        <v>45968</v>
      </c>
      <c r="B7" s="22">
        <v>0.50000000000000089</v>
      </c>
    </row>
    <row r="8" spans="1:2" x14ac:dyDescent="0.25">
      <c r="A8" s="20">
        <v>45973</v>
      </c>
      <c r="B8" s="22">
        <v>1.5000000000000013</v>
      </c>
    </row>
    <row r="9" spans="1:2" x14ac:dyDescent="0.25">
      <c r="A9" s="20">
        <v>45978</v>
      </c>
      <c r="B9" s="22">
        <v>1.0000000000000004</v>
      </c>
    </row>
    <row r="10" spans="1:2" x14ac:dyDescent="0.25">
      <c r="A10" s="20">
        <v>45979</v>
      </c>
      <c r="B10" s="22">
        <v>2.0000000000000009</v>
      </c>
    </row>
    <row r="11" spans="1:2" x14ac:dyDescent="0.25">
      <c r="A11" s="7" t="s">
        <v>9</v>
      </c>
      <c r="B11" s="22">
        <v>17.000000000000004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Dashboard</vt:lpstr>
      <vt:lpstr> Data Source</vt:lpstr>
      <vt:lpstr> Machine Wase Loss Time</vt:lpstr>
      <vt:lpstr> Date By Loss Production</vt:lpstr>
      <vt:lpstr> Date Wase loss TIme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Ismail (Comp_HNR)</dc:creator>
  <cp:lastModifiedBy>Shan Ali (Comp_HNR)</cp:lastModifiedBy>
  <cp:lastPrinted>2025-10-24T05:58:48Z</cp:lastPrinted>
  <dcterms:created xsi:type="dcterms:W3CDTF">2015-06-05T18:17:20Z</dcterms:created>
  <dcterms:modified xsi:type="dcterms:W3CDTF">2025-11-19T06:16:32Z</dcterms:modified>
</cp:coreProperties>
</file>